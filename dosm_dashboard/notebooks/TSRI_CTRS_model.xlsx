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1_23931E2FB9DE3E78283053C5A924F3F983ED0CB4" xr6:coauthVersionLast="47" xr6:coauthVersionMax="47" xr10:uidLastSave="{00000000-0000-0000-0000-000000000000}"/>
  <bookViews>
    <workbookView xWindow="-110" yWindow="-110" windowWidth="19420" windowHeight="11020" firstSheet="1" activeTab="5" xr2:uid="{00000000-000D-0000-FFFF-FFFF00000000}"/>
  </bookViews>
  <sheets>
    <sheet name="CTRS_Summary" sheetId="1" r:id="rId1"/>
    <sheet name="CTRS_Control" sheetId="2" r:id="rId2"/>
    <sheet name="CTRS_Inputs" sheetId="3" r:id="rId3"/>
    <sheet name="CTRS_Calc" sheetId="4" r:id="rId4"/>
    <sheet name="CTRS_Desc" sheetId="5" r:id="rId5"/>
    <sheet name="CTRS_Z" sheetId="6" r:id="rId6"/>
    <sheet name="CTRS_MPA" sheetId="7" r:id="rId7"/>
    <sheet name="CTRS_IMCA" sheetId="8" r:id="rId8"/>
    <sheet name="hotel_location_2025" sheetId="9" r:id="rId9"/>
    <sheet name="total_number_of_tourist" sheetId="10" r:id="rId10"/>
    <sheet name="MPA" sheetId="11" r:id="rId11"/>
    <sheet name="MyIMCA" sheetId="12" r:id="rId12"/>
    <sheet name="MMWQI" sheetId="13" r:id="rId13"/>
    <sheet name="LCC" sheetId="14" r:id="rId14"/>
    <sheet name="Notes_Limitations"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3" i="8" l="1"/>
  <c r="F63" i="8" s="1"/>
  <c r="A62" i="8"/>
  <c r="D61" i="8"/>
  <c r="C61" i="8"/>
  <c r="A61" i="8"/>
  <c r="B61" i="8" s="1"/>
  <c r="F60" i="8"/>
  <c r="E60" i="8"/>
  <c r="A60" i="8"/>
  <c r="D60" i="8" s="1"/>
  <c r="D59" i="8"/>
  <c r="C59" i="8"/>
  <c r="A59" i="8"/>
  <c r="F58" i="8"/>
  <c r="E58" i="8"/>
  <c r="B58" i="8"/>
  <c r="A58" i="8"/>
  <c r="E57" i="8"/>
  <c r="D57" i="8"/>
  <c r="C57" i="8"/>
  <c r="A57" i="8"/>
  <c r="B57" i="8" s="1"/>
  <c r="F56" i="8"/>
  <c r="E56" i="8"/>
  <c r="A56" i="8"/>
  <c r="D56" i="8" s="1"/>
  <c r="D55" i="8"/>
  <c r="C55" i="8"/>
  <c r="A55" i="8"/>
  <c r="F54" i="8"/>
  <c r="E54" i="8"/>
  <c r="B54" i="8"/>
  <c r="A54" i="8"/>
  <c r="E53" i="8"/>
  <c r="D53" i="8"/>
  <c r="C53" i="8"/>
  <c r="A53" i="8"/>
  <c r="B53" i="8" s="1"/>
  <c r="F52" i="8"/>
  <c r="E52" i="8"/>
  <c r="A52" i="8"/>
  <c r="D52" i="8" s="1"/>
  <c r="A51" i="8"/>
  <c r="A50" i="8"/>
  <c r="D50" i="8" s="1"/>
  <c r="C49" i="8"/>
  <c r="A49" i="8"/>
  <c r="B48" i="8"/>
  <c r="A48" i="8"/>
  <c r="D48" i="8" s="1"/>
  <c r="E47" i="8"/>
  <c r="D47" i="8"/>
  <c r="C47" i="8"/>
  <c r="A47" i="8"/>
  <c r="C46" i="8"/>
  <c r="B46" i="8"/>
  <c r="A46" i="8"/>
  <c r="D46" i="8" s="1"/>
  <c r="E45" i="8"/>
  <c r="D45" i="8"/>
  <c r="C45" i="8"/>
  <c r="A45" i="8"/>
  <c r="A44" i="8"/>
  <c r="D44" i="8" s="1"/>
  <c r="E43" i="8"/>
  <c r="A43" i="8"/>
  <c r="F42" i="8"/>
  <c r="B42" i="8"/>
  <c r="A42" i="8"/>
  <c r="D42" i="8" s="1"/>
  <c r="A41" i="8"/>
  <c r="F40" i="8"/>
  <c r="E40" i="8"/>
  <c r="C40" i="8"/>
  <c r="B40" i="8"/>
  <c r="A40" i="8"/>
  <c r="D40" i="8" s="1"/>
  <c r="C39" i="8"/>
  <c r="A39" i="8"/>
  <c r="F38" i="8"/>
  <c r="E38" i="8"/>
  <c r="C38" i="8"/>
  <c r="B38" i="8"/>
  <c r="A38" i="8"/>
  <c r="D38" i="8" s="1"/>
  <c r="D37" i="8"/>
  <c r="C37" i="8"/>
  <c r="A37" i="8"/>
  <c r="F36" i="8"/>
  <c r="E36" i="8"/>
  <c r="A36" i="8"/>
  <c r="D36" i="8" s="1"/>
  <c r="A35" i="8"/>
  <c r="A34" i="8"/>
  <c r="A33" i="8"/>
  <c r="B32" i="8"/>
  <c r="A32" i="8"/>
  <c r="A31" i="8"/>
  <c r="C30" i="8"/>
  <c r="A30" i="8"/>
  <c r="C29" i="8"/>
  <c r="A29" i="8"/>
  <c r="B28" i="8"/>
  <c r="A28" i="8"/>
  <c r="D28" i="8" s="1"/>
  <c r="C27" i="8"/>
  <c r="A27" i="8"/>
  <c r="F26" i="8"/>
  <c r="C26" i="8"/>
  <c r="B26" i="8"/>
  <c r="A26" i="8"/>
  <c r="A25" i="8"/>
  <c r="A24" i="8"/>
  <c r="C23" i="8"/>
  <c r="A23" i="8"/>
  <c r="F22" i="8"/>
  <c r="A22" i="8"/>
  <c r="A21" i="8"/>
  <c r="F20" i="8"/>
  <c r="C20" i="8"/>
  <c r="B20" i="8"/>
  <c r="A20" i="8"/>
  <c r="C19" i="8"/>
  <c r="A19" i="8"/>
  <c r="A18" i="8"/>
  <c r="C17" i="8"/>
  <c r="A17" i="8"/>
  <c r="F16" i="8"/>
  <c r="B16" i="8"/>
  <c r="A16" i="8"/>
  <c r="A15" i="8"/>
  <c r="C14" i="8"/>
  <c r="A14" i="8"/>
  <c r="A13" i="8"/>
  <c r="A12" i="8"/>
  <c r="C11" i="8"/>
  <c r="A11" i="8"/>
  <c r="F10" i="8"/>
  <c r="C10" i="8"/>
  <c r="B10" i="8"/>
  <c r="A10" i="8"/>
  <c r="A9" i="8"/>
  <c r="A8" i="8"/>
  <c r="C7" i="8"/>
  <c r="A7" i="8"/>
  <c r="F6" i="8"/>
  <c r="A6" i="8"/>
  <c r="F123" i="7"/>
  <c r="C123" i="7"/>
  <c r="B123" i="7"/>
  <c r="A123" i="7"/>
  <c r="G122" i="7"/>
  <c r="F122" i="7"/>
  <c r="A122" i="7"/>
  <c r="G121" i="7"/>
  <c r="E121" i="7"/>
  <c r="A121" i="7"/>
  <c r="F120" i="7"/>
  <c r="E120" i="7"/>
  <c r="A120" i="7"/>
  <c r="F119" i="7"/>
  <c r="C119" i="7"/>
  <c r="B119" i="7"/>
  <c r="A119" i="7"/>
  <c r="G118" i="7"/>
  <c r="F118" i="7"/>
  <c r="A118" i="7"/>
  <c r="G117" i="7"/>
  <c r="E117" i="7"/>
  <c r="A117" i="7"/>
  <c r="F116" i="7"/>
  <c r="E116" i="7"/>
  <c r="A116" i="7"/>
  <c r="F115" i="7"/>
  <c r="C115" i="7"/>
  <c r="B115" i="7"/>
  <c r="A115" i="7"/>
  <c r="G114" i="7"/>
  <c r="F114" i="7"/>
  <c r="A114" i="7"/>
  <c r="G113" i="7"/>
  <c r="E113" i="7"/>
  <c r="A113" i="7"/>
  <c r="F112" i="7"/>
  <c r="E112" i="7"/>
  <c r="A112" i="7"/>
  <c r="F111" i="7"/>
  <c r="C111" i="7"/>
  <c r="B111" i="7"/>
  <c r="A111" i="7"/>
  <c r="G110" i="7"/>
  <c r="F110" i="7"/>
  <c r="A110" i="7"/>
  <c r="G109" i="7"/>
  <c r="E109" i="7"/>
  <c r="A109" i="7"/>
  <c r="F108" i="7"/>
  <c r="E108" i="7"/>
  <c r="A108" i="7"/>
  <c r="F107" i="7"/>
  <c r="C107" i="7"/>
  <c r="B107" i="7"/>
  <c r="A107" i="7"/>
  <c r="G106" i="7"/>
  <c r="F106" i="7"/>
  <c r="A106" i="7"/>
  <c r="G105" i="7"/>
  <c r="E105" i="7"/>
  <c r="A105" i="7"/>
  <c r="F104" i="7"/>
  <c r="E104" i="7"/>
  <c r="A104" i="7"/>
  <c r="F103" i="7"/>
  <c r="C103" i="7"/>
  <c r="B103" i="7"/>
  <c r="A103" i="7"/>
  <c r="G102" i="7"/>
  <c r="F102" i="7"/>
  <c r="A102" i="7"/>
  <c r="G101" i="7"/>
  <c r="E101" i="7"/>
  <c r="A101" i="7"/>
  <c r="F100" i="7"/>
  <c r="E100" i="7"/>
  <c r="A100" i="7"/>
  <c r="F99" i="7"/>
  <c r="C99" i="7"/>
  <c r="B99" i="7"/>
  <c r="A99" i="7"/>
  <c r="G98" i="7"/>
  <c r="F98" i="7"/>
  <c r="A98" i="7"/>
  <c r="G97" i="7"/>
  <c r="E97" i="7"/>
  <c r="A97" i="7"/>
  <c r="F96" i="7"/>
  <c r="E96" i="7"/>
  <c r="A96" i="7"/>
  <c r="F95" i="7"/>
  <c r="C95" i="7"/>
  <c r="B95" i="7"/>
  <c r="A95" i="7"/>
  <c r="G94" i="7"/>
  <c r="F94" i="7"/>
  <c r="A94" i="7"/>
  <c r="G93" i="7"/>
  <c r="E93" i="7"/>
  <c r="A93" i="7"/>
  <c r="F92" i="7"/>
  <c r="E92" i="7"/>
  <c r="A92" i="7"/>
  <c r="F91" i="7"/>
  <c r="C91" i="7"/>
  <c r="B91" i="7"/>
  <c r="A91" i="7"/>
  <c r="G90" i="7"/>
  <c r="F90" i="7"/>
  <c r="A90" i="7"/>
  <c r="G89" i="7"/>
  <c r="E89" i="7"/>
  <c r="A89" i="7"/>
  <c r="F88" i="7"/>
  <c r="E88" i="7"/>
  <c r="A88" i="7"/>
  <c r="C87" i="7"/>
  <c r="B87" i="7"/>
  <c r="A87" i="7"/>
  <c r="A86" i="7"/>
  <c r="E85" i="7"/>
  <c r="A85" i="7"/>
  <c r="F84" i="7"/>
  <c r="E84" i="7"/>
  <c r="A84" i="7"/>
  <c r="C83" i="7"/>
  <c r="B83" i="7"/>
  <c r="A83" i="7"/>
  <c r="A82" i="7"/>
  <c r="B81" i="7"/>
  <c r="A81" i="7"/>
  <c r="D80" i="7"/>
  <c r="B80" i="7"/>
  <c r="A80" i="7"/>
  <c r="D79" i="7"/>
  <c r="A79" i="7"/>
  <c r="A78" i="7"/>
  <c r="D77" i="7"/>
  <c r="B77" i="7"/>
  <c r="A77" i="7"/>
  <c r="A76" i="7"/>
  <c r="D75" i="7"/>
  <c r="B75" i="7"/>
  <c r="A75" i="7"/>
  <c r="A74" i="7"/>
  <c r="D73" i="7"/>
  <c r="B73" i="7"/>
  <c r="A73" i="7"/>
  <c r="A72" i="7"/>
  <c r="D71" i="7"/>
  <c r="B71" i="7"/>
  <c r="A71" i="7"/>
  <c r="A70" i="7"/>
  <c r="D69" i="7"/>
  <c r="B69" i="7"/>
  <c r="A69" i="7"/>
  <c r="A68" i="7"/>
  <c r="D67" i="7"/>
  <c r="B67" i="7"/>
  <c r="A67" i="7"/>
  <c r="D66" i="7"/>
  <c r="A66" i="7"/>
  <c r="D65" i="7"/>
  <c r="B65" i="7"/>
  <c r="A65" i="7"/>
  <c r="A64" i="7"/>
  <c r="D63" i="7"/>
  <c r="B63" i="7"/>
  <c r="A63" i="7"/>
  <c r="D62" i="7"/>
  <c r="A62" i="7"/>
  <c r="D61" i="7"/>
  <c r="A61" i="7"/>
  <c r="A60" i="7"/>
  <c r="D59" i="7"/>
  <c r="B59" i="7"/>
  <c r="A59" i="7"/>
  <c r="A58" i="7"/>
  <c r="D57" i="7"/>
  <c r="B57" i="7"/>
  <c r="A57" i="7"/>
  <c r="A56" i="7"/>
  <c r="D55" i="7"/>
  <c r="B55" i="7"/>
  <c r="A55" i="7"/>
  <c r="A54" i="7"/>
  <c r="A53" i="7"/>
  <c r="A52" i="7"/>
  <c r="D51" i="7"/>
  <c r="B51" i="7"/>
  <c r="A51" i="7"/>
  <c r="F50" i="7"/>
  <c r="E50" i="7"/>
  <c r="B50" i="7"/>
  <c r="A50" i="7"/>
  <c r="A49" i="7"/>
  <c r="E48" i="7"/>
  <c r="F48" i="7" s="1"/>
  <c r="D48" i="7"/>
  <c r="B48" i="7"/>
  <c r="A48" i="7"/>
  <c r="B47" i="7"/>
  <c r="A47" i="7"/>
  <c r="A46" i="7"/>
  <c r="E45" i="7"/>
  <c r="A45" i="7"/>
  <c r="E44" i="7"/>
  <c r="D44" i="7"/>
  <c r="A44" i="7"/>
  <c r="F43" i="7"/>
  <c r="E43" i="7"/>
  <c r="D43" i="7"/>
  <c r="B43" i="7"/>
  <c r="A43" i="7"/>
  <c r="E42" i="7"/>
  <c r="B42" i="7"/>
  <c r="A42" i="7"/>
  <c r="E41" i="7"/>
  <c r="F41" i="7" s="1"/>
  <c r="D41" i="7"/>
  <c r="A41" i="7"/>
  <c r="E40" i="7"/>
  <c r="F40" i="7" s="1"/>
  <c r="D40" i="7"/>
  <c r="B40" i="7"/>
  <c r="A40" i="7"/>
  <c r="A39" i="7"/>
  <c r="A38" i="7"/>
  <c r="A37" i="7"/>
  <c r="E36" i="7"/>
  <c r="D36" i="7"/>
  <c r="A36" i="7"/>
  <c r="D35" i="7"/>
  <c r="A35" i="7"/>
  <c r="A34" i="7"/>
  <c r="D33" i="7"/>
  <c r="A33" i="7"/>
  <c r="A32" i="7"/>
  <c r="D31" i="7"/>
  <c r="A31" i="7"/>
  <c r="A30" i="7"/>
  <c r="D29" i="7"/>
  <c r="A29" i="7"/>
  <c r="A28" i="7"/>
  <c r="D27" i="7"/>
  <c r="A27" i="7"/>
  <c r="A26" i="7"/>
  <c r="D25" i="7"/>
  <c r="A25" i="7"/>
  <c r="A24" i="7"/>
  <c r="D23" i="7"/>
  <c r="A23" i="7"/>
  <c r="A22" i="7"/>
  <c r="D21" i="7"/>
  <c r="A21" i="7"/>
  <c r="A20" i="7"/>
  <c r="D19" i="7"/>
  <c r="A19" i="7"/>
  <c r="A18" i="7"/>
  <c r="D17" i="7"/>
  <c r="A17" i="7"/>
  <c r="A16" i="7"/>
  <c r="D15" i="7"/>
  <c r="A15" i="7"/>
  <c r="A14" i="7"/>
  <c r="D13" i="7"/>
  <c r="A13" i="7"/>
  <c r="A12" i="7"/>
  <c r="D11" i="7"/>
  <c r="A11" i="7"/>
  <c r="A10" i="7"/>
  <c r="D9" i="7"/>
  <c r="A9" i="7"/>
  <c r="A8" i="7"/>
  <c r="D7" i="7"/>
  <c r="A7" i="7"/>
  <c r="A6" i="7"/>
  <c r="A19" i="5"/>
  <c r="A18" i="5"/>
  <c r="A17" i="5"/>
  <c r="A16" i="5"/>
  <c r="A15" i="5"/>
  <c r="A14" i="5"/>
  <c r="A13" i="5"/>
  <c r="A12" i="5"/>
  <c r="A11" i="5"/>
  <c r="A10" i="5"/>
  <c r="A9" i="5"/>
  <c r="A8" i="5"/>
  <c r="A7" i="5"/>
  <c r="A6" i="5"/>
  <c r="W18" i="4"/>
  <c r="V18" i="4"/>
  <c r="U18" i="4"/>
  <c r="J18" i="4" s="1"/>
  <c r="S18" i="4"/>
  <c r="R18" i="4"/>
  <c r="P18" i="4"/>
  <c r="N18" i="4"/>
  <c r="Q18" i="4" s="1"/>
  <c r="I18" i="4"/>
  <c r="H18" i="4"/>
  <c r="G18" i="4"/>
  <c r="F18" i="4"/>
  <c r="E18" i="4"/>
  <c r="W17" i="4"/>
  <c r="U17" i="4"/>
  <c r="S17" i="4"/>
  <c r="R17" i="4"/>
  <c r="Q17" i="4"/>
  <c r="N17" i="4"/>
  <c r="O17" i="4" s="1"/>
  <c r="J17" i="4"/>
  <c r="L17" i="4" s="1"/>
  <c r="I17" i="4"/>
  <c r="H17" i="4"/>
  <c r="G17" i="4"/>
  <c r="F17" i="4"/>
  <c r="E17" i="4"/>
  <c r="V16" i="4"/>
  <c r="S16" i="4" s="1"/>
  <c r="U16" i="4"/>
  <c r="R16" i="4"/>
  <c r="W16" i="4" s="1"/>
  <c r="P16" i="4"/>
  <c r="O16" i="4"/>
  <c r="N16" i="4"/>
  <c r="Q16" i="4" s="1"/>
  <c r="I16" i="4"/>
  <c r="H16" i="4"/>
  <c r="G16" i="4"/>
  <c r="F16" i="4"/>
  <c r="E16" i="4"/>
  <c r="J16" i="4" s="1"/>
  <c r="V15" i="4"/>
  <c r="U15" i="4"/>
  <c r="R15" i="4"/>
  <c r="W15" i="4" s="1"/>
  <c r="P15" i="4"/>
  <c r="O15" i="4"/>
  <c r="N15" i="4"/>
  <c r="Q15" i="4" s="1"/>
  <c r="I15" i="4"/>
  <c r="H15" i="4"/>
  <c r="G15" i="4"/>
  <c r="F15" i="4"/>
  <c r="E15" i="4"/>
  <c r="V14" i="4"/>
  <c r="U14" i="4"/>
  <c r="R14" i="4"/>
  <c r="W14" i="4" s="1"/>
  <c r="Q14" i="4"/>
  <c r="O14" i="4"/>
  <c r="N14" i="4"/>
  <c r="P14" i="4" s="1"/>
  <c r="J14" i="4"/>
  <c r="I14" i="4"/>
  <c r="H14" i="4"/>
  <c r="G14" i="4"/>
  <c r="F14" i="4"/>
  <c r="E14" i="4"/>
  <c r="W13" i="4"/>
  <c r="U13" i="4"/>
  <c r="J13" i="4" s="1"/>
  <c r="L13" i="4" s="1"/>
  <c r="R13" i="4"/>
  <c r="N13" i="4"/>
  <c r="Q13" i="4" s="1"/>
  <c r="I13" i="4"/>
  <c r="H13" i="4"/>
  <c r="G13" i="4"/>
  <c r="F13" i="4"/>
  <c r="E13" i="4"/>
  <c r="W12" i="4"/>
  <c r="U12" i="4"/>
  <c r="R12" i="4"/>
  <c r="Q12" i="4"/>
  <c r="O12" i="4"/>
  <c r="N12" i="4"/>
  <c r="P12" i="4" s="1"/>
  <c r="I12" i="4"/>
  <c r="H12" i="4"/>
  <c r="G12" i="4"/>
  <c r="F12" i="4"/>
  <c r="E12" i="4"/>
  <c r="W11" i="4"/>
  <c r="U11" i="4"/>
  <c r="J11" i="4" s="1"/>
  <c r="S11" i="4"/>
  <c r="R11" i="4"/>
  <c r="P11" i="4"/>
  <c r="N11" i="4"/>
  <c r="V11" i="4" s="1"/>
  <c r="AG11" i="4" s="1"/>
  <c r="I11" i="4"/>
  <c r="H11" i="4"/>
  <c r="G11" i="4"/>
  <c r="F11" i="4"/>
  <c r="E11" i="4"/>
  <c r="W10" i="4"/>
  <c r="V10" i="4"/>
  <c r="AG10" i="4" s="1"/>
  <c r="U10" i="4"/>
  <c r="S10" i="4"/>
  <c r="R10" i="4"/>
  <c r="N10" i="4"/>
  <c r="Q10" i="4" s="1"/>
  <c r="I10" i="4"/>
  <c r="H10" i="4"/>
  <c r="G10" i="4"/>
  <c r="F10" i="4"/>
  <c r="E10" i="4"/>
  <c r="J10" i="4" s="1"/>
  <c r="V9" i="4"/>
  <c r="U9" i="4"/>
  <c r="R9" i="4"/>
  <c r="P9" i="4"/>
  <c r="N9" i="4"/>
  <c r="O9" i="4" s="1"/>
  <c r="J9" i="4"/>
  <c r="I9" i="4"/>
  <c r="H9" i="4"/>
  <c r="G9" i="4"/>
  <c r="F9" i="4"/>
  <c r="E9" i="4"/>
  <c r="V8" i="4"/>
  <c r="U8" i="4"/>
  <c r="R8" i="4"/>
  <c r="S8" i="4" s="1"/>
  <c r="P8" i="4"/>
  <c r="O8" i="4"/>
  <c r="N8" i="4"/>
  <c r="Q8" i="4" s="1"/>
  <c r="I8" i="4"/>
  <c r="H8" i="4"/>
  <c r="G8" i="4"/>
  <c r="F8" i="4"/>
  <c r="E8" i="4"/>
  <c r="J8" i="4" s="1"/>
  <c r="V7" i="4"/>
  <c r="U7" i="4"/>
  <c r="R7" i="4"/>
  <c r="W7" i="4" s="1"/>
  <c r="Q7" i="4"/>
  <c r="P7" i="4"/>
  <c r="O7" i="4"/>
  <c r="N7" i="4"/>
  <c r="I7" i="4"/>
  <c r="H7" i="4"/>
  <c r="G7" i="4"/>
  <c r="F7" i="4"/>
  <c r="E7" i="4"/>
  <c r="V6" i="4"/>
  <c r="U6" i="4"/>
  <c r="R6" i="4"/>
  <c r="W6" i="4" s="1"/>
  <c r="Q6" i="4"/>
  <c r="O6" i="4"/>
  <c r="N6" i="4"/>
  <c r="P6" i="4" s="1"/>
  <c r="J6" i="4"/>
  <c r="I6" i="4"/>
  <c r="H6" i="4"/>
  <c r="G6" i="4"/>
  <c r="F6" i="4"/>
  <c r="E6" i="4"/>
  <c r="W5" i="4"/>
  <c r="U5" i="4"/>
  <c r="R5" i="4"/>
  <c r="S5" i="4" s="1"/>
  <c r="N5" i="4"/>
  <c r="I5" i="4"/>
  <c r="H5" i="4"/>
  <c r="G5" i="4"/>
  <c r="F5" i="4"/>
  <c r="E5" i="4"/>
  <c r="B19" i="3"/>
  <c r="D19" i="3" s="1"/>
  <c r="K18" i="4" s="1"/>
  <c r="X18" i="4" s="1"/>
  <c r="B18" i="3"/>
  <c r="D18" i="3" s="1"/>
  <c r="K17" i="4" s="1"/>
  <c r="X17" i="4" s="1"/>
  <c r="B17" i="3"/>
  <c r="D17" i="3" s="1"/>
  <c r="K16" i="4" s="1"/>
  <c r="X16" i="4" s="1"/>
  <c r="B16" i="3"/>
  <c r="D16" i="3" s="1"/>
  <c r="K15" i="4" s="1"/>
  <c r="X15" i="4" s="1"/>
  <c r="B15" i="3"/>
  <c r="D15" i="3" s="1"/>
  <c r="K14" i="4" s="1"/>
  <c r="X14" i="4" s="1"/>
  <c r="B14" i="3"/>
  <c r="D14" i="3" s="1"/>
  <c r="K13" i="4" s="1"/>
  <c r="X13" i="4" s="1"/>
  <c r="B13" i="3"/>
  <c r="D13" i="3" s="1"/>
  <c r="K12" i="4" s="1"/>
  <c r="X12" i="4" s="1"/>
  <c r="B12" i="3"/>
  <c r="D12" i="3" s="1"/>
  <c r="K11" i="4" s="1"/>
  <c r="X11" i="4" s="1"/>
  <c r="B11" i="3"/>
  <c r="D11" i="3" s="1"/>
  <c r="K10" i="4" s="1"/>
  <c r="X10" i="4" s="1"/>
  <c r="B10" i="3"/>
  <c r="D10" i="3" s="1"/>
  <c r="K9" i="4" s="1"/>
  <c r="X9" i="4" s="1"/>
  <c r="B9" i="3"/>
  <c r="D9" i="3" s="1"/>
  <c r="K8" i="4" s="1"/>
  <c r="X8" i="4" s="1"/>
  <c r="B8" i="3"/>
  <c r="D8" i="3" s="1"/>
  <c r="K7" i="4" s="1"/>
  <c r="X7" i="4" s="1"/>
  <c r="B7" i="3"/>
  <c r="D7" i="3" s="1"/>
  <c r="K6" i="4" s="1"/>
  <c r="X6" i="4" s="1"/>
  <c r="B6" i="3"/>
  <c r="D6" i="3" s="1"/>
  <c r="K5" i="4" s="1"/>
  <c r="X5" i="4" s="1"/>
  <c r="C40" i="2"/>
  <c r="C39" i="2"/>
  <c r="E38" i="2"/>
  <c r="C38" i="2"/>
  <c r="G43" i="7" s="1"/>
  <c r="E37" i="2"/>
  <c r="C37" i="2"/>
  <c r="E36" i="2"/>
  <c r="C36" i="2"/>
  <c r="E35" i="2"/>
  <c r="C35" i="2"/>
  <c r="C16" i="2"/>
  <c r="C15" i="2"/>
  <c r="C14" i="2"/>
  <c r="C13" i="2"/>
  <c r="C12" i="2"/>
  <c r="G66" i="7" l="1"/>
  <c r="G59" i="7"/>
  <c r="G63" i="7"/>
  <c r="G36" i="7"/>
  <c r="AG7" i="4"/>
  <c r="J7" i="4"/>
  <c r="L7" i="4" s="1"/>
  <c r="W9" i="4"/>
  <c r="AG9" i="4" s="1"/>
  <c r="S9" i="4"/>
  <c r="Q5" i="4"/>
  <c r="P5" i="4"/>
  <c r="O5" i="4"/>
  <c r="V5" i="4"/>
  <c r="AG6" i="4"/>
  <c r="L16" i="4"/>
  <c r="L11" i="4"/>
  <c r="AG14" i="4"/>
  <c r="L8" i="4"/>
  <c r="L6" i="4"/>
  <c r="L10" i="4"/>
  <c r="J5" i="4"/>
  <c r="L5" i="4" s="1"/>
  <c r="AG5" i="4"/>
  <c r="C17" i="2"/>
  <c r="AG8" i="4"/>
  <c r="L9" i="4"/>
  <c r="L14" i="4"/>
  <c r="AG15" i="4"/>
  <c r="J15" i="4"/>
  <c r="L15" i="4" s="1"/>
  <c r="L18" i="4"/>
  <c r="G21" i="7"/>
  <c r="S7" i="4"/>
  <c r="W8" i="4"/>
  <c r="Q9" i="4"/>
  <c r="O11" i="4"/>
  <c r="J12" i="4"/>
  <c r="L12" i="4" s="1"/>
  <c r="V13" i="4"/>
  <c r="S13" i="4" s="1"/>
  <c r="S15" i="4"/>
  <c r="G17" i="7"/>
  <c r="G33" i="7"/>
  <c r="H43" i="7"/>
  <c r="Q11" i="4"/>
  <c r="O13" i="4"/>
  <c r="AG16" i="4"/>
  <c r="S6" i="4"/>
  <c r="O10" i="4"/>
  <c r="V12" i="4"/>
  <c r="S12" i="4" s="1"/>
  <c r="P13" i="4"/>
  <c r="AG13" i="4"/>
  <c r="S14" i="4"/>
  <c r="V17" i="4"/>
  <c r="F8" i="7"/>
  <c r="H8" i="7" s="1"/>
  <c r="G13" i="7"/>
  <c r="G29" i="7"/>
  <c r="G44" i="7"/>
  <c r="G55" i="7"/>
  <c r="P10" i="4"/>
  <c r="G67" i="7"/>
  <c r="AF12" i="4"/>
  <c r="G9" i="7"/>
  <c r="G25" i="7"/>
  <c r="G51" i="7"/>
  <c r="P17" i="4"/>
  <c r="C12" i="7"/>
  <c r="C16" i="7"/>
  <c r="C24" i="7"/>
  <c r="E38" i="7"/>
  <c r="F38" i="7" s="1"/>
  <c r="D38" i="7"/>
  <c r="G38" i="7" s="1"/>
  <c r="H38" i="7"/>
  <c r="B46" i="7"/>
  <c r="D54" i="7"/>
  <c r="G54" i="7" s="1"/>
  <c r="E56" i="7"/>
  <c r="D56" i="7"/>
  <c r="B56" i="7"/>
  <c r="C56" i="7" s="1"/>
  <c r="F56" i="7"/>
  <c r="H56" i="7" s="1"/>
  <c r="E61" i="7"/>
  <c r="F61" i="7" s="1"/>
  <c r="H61" i="7" s="1"/>
  <c r="C61" i="7"/>
  <c r="G61" i="7"/>
  <c r="G75" i="7"/>
  <c r="O18" i="4"/>
  <c r="B7" i="7"/>
  <c r="C7" i="7" s="1"/>
  <c r="E7" i="7"/>
  <c r="F7" i="7" s="1"/>
  <c r="D2" i="6" s="1"/>
  <c r="D8" i="7"/>
  <c r="G8" i="7" s="1"/>
  <c r="B11" i="7"/>
  <c r="C11" i="7" s="1"/>
  <c r="E11" i="7"/>
  <c r="F11" i="7" s="1"/>
  <c r="D12" i="7"/>
  <c r="G12" i="7" s="1"/>
  <c r="B15" i="7"/>
  <c r="C15" i="7" s="1"/>
  <c r="E15" i="7"/>
  <c r="F15" i="7" s="1"/>
  <c r="H15" i="7" s="1"/>
  <c r="D16" i="7"/>
  <c r="G16" i="7" s="1"/>
  <c r="B19" i="7"/>
  <c r="C19" i="7" s="1"/>
  <c r="E19" i="7"/>
  <c r="F19" i="7" s="1"/>
  <c r="H19" i="7" s="1"/>
  <c r="D20" i="7"/>
  <c r="G20" i="7" s="1"/>
  <c r="B23" i="7"/>
  <c r="C23" i="7" s="1"/>
  <c r="E23" i="7"/>
  <c r="F23" i="7" s="1"/>
  <c r="H23" i="7" s="1"/>
  <c r="D24" i="7"/>
  <c r="G24" i="7" s="1"/>
  <c r="B27" i="7"/>
  <c r="C27" i="7" s="1"/>
  <c r="E27" i="7"/>
  <c r="F27" i="7" s="1"/>
  <c r="D28" i="7"/>
  <c r="G28" i="7" s="1"/>
  <c r="B31" i="7"/>
  <c r="C31" i="7" s="1"/>
  <c r="E31" i="7"/>
  <c r="F31" i="7" s="1"/>
  <c r="D32" i="7"/>
  <c r="G32" i="7" s="1"/>
  <c r="B35" i="7"/>
  <c r="C35" i="7" s="1"/>
  <c r="E35" i="7"/>
  <c r="F35" i="7" s="1"/>
  <c r="B38" i="7"/>
  <c r="C38" i="7" s="1"/>
  <c r="G56" i="7"/>
  <c r="B61" i="7"/>
  <c r="E66" i="7"/>
  <c r="F66" i="7" s="1"/>
  <c r="H66" i="7" s="1"/>
  <c r="B66" i="7"/>
  <c r="C66" i="7" s="1"/>
  <c r="AG18" i="4"/>
  <c r="C42" i="7"/>
  <c r="D42" i="7"/>
  <c r="E52" i="7"/>
  <c r="F52" i="7" s="1"/>
  <c r="H52" i="7" s="1"/>
  <c r="D52" i="7"/>
  <c r="G52" i="7" s="1"/>
  <c r="B52" i="7"/>
  <c r="C52" i="7" s="1"/>
  <c r="E57" i="7"/>
  <c r="C57" i="7"/>
  <c r="G57" i="7"/>
  <c r="F57" i="7"/>
  <c r="H57" i="7" s="1"/>
  <c r="E68" i="7"/>
  <c r="F68" i="7" s="1"/>
  <c r="H68" i="7" s="1"/>
  <c r="D68" i="7"/>
  <c r="G68" i="7" s="1"/>
  <c r="B68" i="7"/>
  <c r="C68" i="7" s="1"/>
  <c r="E76" i="7"/>
  <c r="F76" i="7" s="1"/>
  <c r="H76" i="7" s="1"/>
  <c r="D76" i="7"/>
  <c r="G76" i="7" s="1"/>
  <c r="B76" i="7"/>
  <c r="C76" i="7" s="1"/>
  <c r="G79" i="7"/>
  <c r="B6" i="7"/>
  <c r="C6" i="7" s="1"/>
  <c r="E6" i="7"/>
  <c r="B10" i="7"/>
  <c r="C10" i="7" s="1"/>
  <c r="E10" i="7"/>
  <c r="B14" i="7"/>
  <c r="C14" i="7" s="1"/>
  <c r="E14" i="7"/>
  <c r="B18" i="7"/>
  <c r="C18" i="7" s="1"/>
  <c r="E18" i="7"/>
  <c r="F18" i="7" s="1"/>
  <c r="H18" i="7" s="1"/>
  <c r="B22" i="7"/>
  <c r="C22" i="7" s="1"/>
  <c r="E22" i="7"/>
  <c r="B26" i="7"/>
  <c r="C26" i="7" s="1"/>
  <c r="E26" i="7"/>
  <c r="B30" i="7"/>
  <c r="C30" i="7" s="1"/>
  <c r="E30" i="7"/>
  <c r="F30" i="7" s="1"/>
  <c r="H30" i="7" s="1"/>
  <c r="B34" i="7"/>
  <c r="C34" i="7" s="1"/>
  <c r="E34" i="7"/>
  <c r="F34" i="7" s="1"/>
  <c r="H34" i="7" s="1"/>
  <c r="D45" i="7"/>
  <c r="B45" i="7"/>
  <c r="C45" i="7" s="1"/>
  <c r="G45" i="7"/>
  <c r="C47" i="7"/>
  <c r="F47" i="7"/>
  <c r="E47" i="7"/>
  <c r="H48" i="7"/>
  <c r="E62" i="7"/>
  <c r="F62" i="7" s="1"/>
  <c r="H62" i="7" s="1"/>
  <c r="B62" i="7"/>
  <c r="C62" i="7" s="1"/>
  <c r="E74" i="7"/>
  <c r="D74" i="7"/>
  <c r="G74" i="7" s="1"/>
  <c r="B74" i="7"/>
  <c r="C74" i="7" s="1"/>
  <c r="E82" i="7"/>
  <c r="F82" i="7" s="1"/>
  <c r="H82" i="7" s="1"/>
  <c r="D82" i="7"/>
  <c r="B82" i="7"/>
  <c r="C82" i="7" s="1"/>
  <c r="B13" i="8"/>
  <c r="D13" i="8" s="1"/>
  <c r="E13" i="8" s="1"/>
  <c r="F13" i="8"/>
  <c r="C13" i="8"/>
  <c r="C37" i="7"/>
  <c r="D37" i="7"/>
  <c r="B37" i="7"/>
  <c r="G37" i="7"/>
  <c r="C39" i="7"/>
  <c r="E39" i="7"/>
  <c r="F39" i="7" s="1"/>
  <c r="H39" i="7" s="1"/>
  <c r="C49" i="7"/>
  <c r="B49" i="7"/>
  <c r="E53" i="7"/>
  <c r="C53" i="7"/>
  <c r="F53" i="7"/>
  <c r="H53" i="7" s="1"/>
  <c r="E64" i="7"/>
  <c r="F64" i="7" s="1"/>
  <c r="H64" i="7" s="1"/>
  <c r="D64" i="7"/>
  <c r="B64" i="7"/>
  <c r="C64" i="7" s="1"/>
  <c r="G71" i="7"/>
  <c r="F74" i="7"/>
  <c r="H74" i="7" s="1"/>
  <c r="G82" i="7"/>
  <c r="D6" i="7"/>
  <c r="G7" i="7"/>
  <c r="B9" i="7"/>
  <c r="C9" i="7" s="1"/>
  <c r="E9" i="7"/>
  <c r="F9" i="7" s="1"/>
  <c r="H9" i="7" s="1"/>
  <c r="D10" i="7"/>
  <c r="G11" i="7"/>
  <c r="B13" i="7"/>
  <c r="E13" i="7"/>
  <c r="F13" i="7" s="1"/>
  <c r="H13" i="7" s="1"/>
  <c r="D14" i="7"/>
  <c r="G15" i="7"/>
  <c r="B17" i="7"/>
  <c r="C17" i="7" s="1"/>
  <c r="E17" i="7"/>
  <c r="F17" i="7" s="1"/>
  <c r="H17" i="7" s="1"/>
  <c r="D18" i="7"/>
  <c r="G19" i="7"/>
  <c r="B21" i="7"/>
  <c r="E21" i="7"/>
  <c r="F21" i="7" s="1"/>
  <c r="H21" i="7" s="1"/>
  <c r="D22" i="7"/>
  <c r="G22" i="7" s="1"/>
  <c r="G23" i="7"/>
  <c r="B25" i="7"/>
  <c r="E25" i="7"/>
  <c r="F25" i="7" s="1"/>
  <c r="D26" i="7"/>
  <c r="G26" i="7" s="1"/>
  <c r="G27" i="7"/>
  <c r="H27" i="7" s="1"/>
  <c r="B29" i="7"/>
  <c r="E29" i="7"/>
  <c r="F29" i="7" s="1"/>
  <c r="H29" i="7" s="1"/>
  <c r="D30" i="7"/>
  <c r="G30" i="7" s="1"/>
  <c r="G31" i="7"/>
  <c r="B33" i="7"/>
  <c r="C33" i="7" s="1"/>
  <c r="E33" i="7"/>
  <c r="F33" i="7" s="1"/>
  <c r="H33" i="7" s="1"/>
  <c r="D34" i="7"/>
  <c r="G35" i="7"/>
  <c r="E37" i="7"/>
  <c r="B39" i="7"/>
  <c r="F42" i="7"/>
  <c r="H42" i="7" s="1"/>
  <c r="F45" i="7"/>
  <c r="D47" i="7"/>
  <c r="G47" i="7" s="1"/>
  <c r="H47" i="7" s="1"/>
  <c r="D49" i="7"/>
  <c r="G49" i="7" s="1"/>
  <c r="B53" i="7"/>
  <c r="E58" i="7"/>
  <c r="F58" i="7" s="1"/>
  <c r="B58" i="7"/>
  <c r="C58" i="7" s="1"/>
  <c r="G64" i="7"/>
  <c r="F6" i="7"/>
  <c r="H7" i="7"/>
  <c r="F10" i="7"/>
  <c r="H10" i="7" s="1"/>
  <c r="H11" i="7"/>
  <c r="C13" i="7"/>
  <c r="F14" i="7"/>
  <c r="H14" i="7" s="1"/>
  <c r="C21" i="7"/>
  <c r="F22" i="7"/>
  <c r="C25" i="7"/>
  <c r="F26" i="7"/>
  <c r="H26" i="7" s="1"/>
  <c r="C29" i="7"/>
  <c r="H31" i="7"/>
  <c r="H35" i="7"/>
  <c r="F37" i="7"/>
  <c r="H37" i="7" s="1"/>
  <c r="D39" i="7"/>
  <c r="G41" i="7"/>
  <c r="H41" i="7" s="1"/>
  <c r="B41" i="7"/>
  <c r="C41" i="7" s="1"/>
  <c r="G42" i="7"/>
  <c r="F44" i="7"/>
  <c r="H44" i="7" s="1"/>
  <c r="H45" i="7"/>
  <c r="E49" i="7"/>
  <c r="D53" i="7"/>
  <c r="G53" i="7" s="1"/>
  <c r="D58" i="7"/>
  <c r="G58" i="7" s="1"/>
  <c r="H58" i="7" s="1"/>
  <c r="E60" i="7"/>
  <c r="F60" i="7" s="1"/>
  <c r="H60" i="7" s="1"/>
  <c r="D60" i="7"/>
  <c r="G60" i="7" s="1"/>
  <c r="B60" i="7"/>
  <c r="C60" i="7" s="1"/>
  <c r="G62" i="7"/>
  <c r="E65" i="7"/>
  <c r="C65" i="7"/>
  <c r="G65" i="7"/>
  <c r="F65" i="7"/>
  <c r="H65" i="7" s="1"/>
  <c r="E72" i="7"/>
  <c r="F72" i="7" s="1"/>
  <c r="H72" i="7" s="1"/>
  <c r="D72" i="7"/>
  <c r="G72" i="7" s="1"/>
  <c r="B72" i="7"/>
  <c r="C72" i="7" s="1"/>
  <c r="G6" i="7"/>
  <c r="H6" i="7" s="1"/>
  <c r="B8" i="7"/>
  <c r="C8" i="7" s="1"/>
  <c r="E8" i="7"/>
  <c r="G10" i="7"/>
  <c r="B12" i="7"/>
  <c r="E12" i="7"/>
  <c r="F12" i="7" s="1"/>
  <c r="H12" i="7" s="1"/>
  <c r="G14" i="7"/>
  <c r="B16" i="7"/>
  <c r="E16" i="7"/>
  <c r="F16" i="7" s="1"/>
  <c r="H16" i="7" s="1"/>
  <c r="G18" i="7"/>
  <c r="B20" i="7"/>
  <c r="C20" i="7" s="1"/>
  <c r="E20" i="7"/>
  <c r="F20" i="7" s="1"/>
  <c r="H20" i="7" s="1"/>
  <c r="B24" i="7"/>
  <c r="E24" i="7"/>
  <c r="F24" i="7" s="1"/>
  <c r="H24" i="7" s="1"/>
  <c r="B28" i="7"/>
  <c r="C28" i="7" s="1"/>
  <c r="E28" i="7"/>
  <c r="F28" i="7" s="1"/>
  <c r="H28" i="7" s="1"/>
  <c r="B32" i="7"/>
  <c r="C32" i="7" s="1"/>
  <c r="E32" i="7"/>
  <c r="F32" i="7" s="1"/>
  <c r="H32" i="7" s="1"/>
  <c r="G34" i="7"/>
  <c r="G39" i="7"/>
  <c r="C46" i="7"/>
  <c r="E46" i="7"/>
  <c r="F46" i="7" s="1"/>
  <c r="D46" i="7"/>
  <c r="G46" i="7" s="1"/>
  <c r="F49" i="7"/>
  <c r="H49" i="7" s="1"/>
  <c r="E54" i="7"/>
  <c r="F54" i="7" s="1"/>
  <c r="H54" i="7" s="1"/>
  <c r="C54" i="7"/>
  <c r="B54" i="7"/>
  <c r="E70" i="7"/>
  <c r="F70" i="7" s="1"/>
  <c r="H70" i="7" s="1"/>
  <c r="C70" i="7"/>
  <c r="D70" i="7"/>
  <c r="G70" i="7" s="1"/>
  <c r="B70" i="7"/>
  <c r="E78" i="7"/>
  <c r="F78" i="7" s="1"/>
  <c r="H78" i="7" s="1"/>
  <c r="C78" i="7"/>
  <c r="D78" i="7"/>
  <c r="G78" i="7" s="1"/>
  <c r="B78" i="7"/>
  <c r="D8" i="8"/>
  <c r="F8" i="8"/>
  <c r="B8" i="8"/>
  <c r="E8" i="8"/>
  <c r="C8" i="8"/>
  <c r="B18" i="8"/>
  <c r="D18" i="8" s="1"/>
  <c r="F18" i="8"/>
  <c r="C18" i="8"/>
  <c r="C50" i="7"/>
  <c r="E81" i="7"/>
  <c r="F81" i="7" s="1"/>
  <c r="H81" i="7" s="1"/>
  <c r="C81" i="7"/>
  <c r="B9" i="8"/>
  <c r="D9" i="8" s="1"/>
  <c r="F9" i="8"/>
  <c r="C9" i="8"/>
  <c r="E9" i="8" s="1"/>
  <c r="E11" i="8"/>
  <c r="B14" i="8"/>
  <c r="D14" i="8" s="1"/>
  <c r="E14" i="8" s="1"/>
  <c r="F19" i="8"/>
  <c r="B19" i="8"/>
  <c r="D19" i="8" s="1"/>
  <c r="E19" i="8" s="1"/>
  <c r="D24" i="8"/>
  <c r="E24" i="8" s="1"/>
  <c r="F24" i="8"/>
  <c r="B24" i="8"/>
  <c r="C22" i="8"/>
  <c r="C24" i="8"/>
  <c r="F36" i="7"/>
  <c r="H36" i="7" s="1"/>
  <c r="C40" i="7"/>
  <c r="C48" i="7"/>
  <c r="D50" i="7"/>
  <c r="G50" i="7" s="1"/>
  <c r="H50" i="7" s="1"/>
  <c r="D81" i="7"/>
  <c r="G81" i="7" s="1"/>
  <c r="D85" i="7"/>
  <c r="G85" i="7" s="1"/>
  <c r="B85" i="7"/>
  <c r="F85" i="7"/>
  <c r="H85" i="7" s="1"/>
  <c r="D89" i="7"/>
  <c r="H89" i="7"/>
  <c r="B89" i="7"/>
  <c r="F89" i="7"/>
  <c r="D93" i="7"/>
  <c r="H93" i="7"/>
  <c r="B93" i="7"/>
  <c r="F93" i="7"/>
  <c r="D97" i="7"/>
  <c r="H97" i="7"/>
  <c r="B97" i="7"/>
  <c r="F97" i="7"/>
  <c r="D101" i="7"/>
  <c r="H101" i="7"/>
  <c r="B101" i="7"/>
  <c r="F101" i="7"/>
  <c r="D105" i="7"/>
  <c r="H105" i="7"/>
  <c r="B105" i="7"/>
  <c r="F105" i="7"/>
  <c r="D109" i="7"/>
  <c r="H109" i="7"/>
  <c r="B109" i="7"/>
  <c r="F109" i="7"/>
  <c r="D113" i="7"/>
  <c r="H113" i="7"/>
  <c r="B113" i="7"/>
  <c r="F113" i="7"/>
  <c r="D117" i="7"/>
  <c r="H117" i="7"/>
  <c r="B117" i="7"/>
  <c r="F117" i="7"/>
  <c r="D121" i="7"/>
  <c r="H121" i="7"/>
  <c r="B121" i="7"/>
  <c r="F121" i="7"/>
  <c r="D12" i="8"/>
  <c r="F12" i="8"/>
  <c r="C12" i="8"/>
  <c r="E12" i="8" s="1"/>
  <c r="F14" i="8"/>
  <c r="B22" i="8"/>
  <c r="D22" i="8" s="1"/>
  <c r="E22" i="8" s="1"/>
  <c r="E69" i="7"/>
  <c r="F69" i="7" s="1"/>
  <c r="H69" i="7" s="1"/>
  <c r="C69" i="7"/>
  <c r="E73" i="7"/>
  <c r="F73" i="7" s="1"/>
  <c r="H73" i="7" s="1"/>
  <c r="C73" i="7"/>
  <c r="E77" i="7"/>
  <c r="F77" i="7" s="1"/>
  <c r="C77" i="7"/>
  <c r="E80" i="7"/>
  <c r="F80" i="7" s="1"/>
  <c r="H80" i="7" s="1"/>
  <c r="C80" i="7"/>
  <c r="C85" i="7"/>
  <c r="C89" i="7"/>
  <c r="C93" i="7"/>
  <c r="C97" i="7"/>
  <c r="C101" i="7"/>
  <c r="C105" i="7"/>
  <c r="C109" i="7"/>
  <c r="C113" i="7"/>
  <c r="C117" i="7"/>
  <c r="C121" i="7"/>
  <c r="B12" i="8"/>
  <c r="F15" i="8"/>
  <c r="B15" i="8"/>
  <c r="D15" i="8" s="1"/>
  <c r="C15" i="8"/>
  <c r="B25" i="8"/>
  <c r="D25" i="8" s="1"/>
  <c r="F25" i="8"/>
  <c r="C25" i="8"/>
  <c r="E25" i="8" s="1"/>
  <c r="C44" i="7"/>
  <c r="E79" i="7"/>
  <c r="F79" i="7" s="1"/>
  <c r="H79" i="7"/>
  <c r="D84" i="7"/>
  <c r="G84" i="7"/>
  <c r="H84" i="7" s="1"/>
  <c r="D86" i="7"/>
  <c r="G86" i="7" s="1"/>
  <c r="H86" i="7"/>
  <c r="E86" i="7"/>
  <c r="F86" i="7" s="1"/>
  <c r="B86" i="7"/>
  <c r="C86" i="7" s="1"/>
  <c r="D88" i="7"/>
  <c r="H88" i="7"/>
  <c r="G88" i="7"/>
  <c r="C88" i="7"/>
  <c r="D90" i="7"/>
  <c r="H90" i="7"/>
  <c r="E90" i="7"/>
  <c r="B90" i="7"/>
  <c r="D92" i="7"/>
  <c r="H92" i="7"/>
  <c r="G92" i="7"/>
  <c r="C92" i="7"/>
  <c r="D94" i="7"/>
  <c r="H94" i="7"/>
  <c r="E94" i="7"/>
  <c r="B94" i="7"/>
  <c r="D96" i="7"/>
  <c r="H96" i="7"/>
  <c r="G96" i="7"/>
  <c r="C96" i="7"/>
  <c r="D98" i="7"/>
  <c r="H98" i="7"/>
  <c r="E98" i="7"/>
  <c r="B98" i="7"/>
  <c r="D100" i="7"/>
  <c r="H100" i="7"/>
  <c r="G100" i="7"/>
  <c r="C100" i="7"/>
  <c r="D102" i="7"/>
  <c r="H102" i="7"/>
  <c r="E102" i="7"/>
  <c r="B102" i="7"/>
  <c r="D104" i="7"/>
  <c r="H104" i="7"/>
  <c r="G104" i="7"/>
  <c r="C104" i="7"/>
  <c r="D106" i="7"/>
  <c r="H106" i="7"/>
  <c r="E106" i="7"/>
  <c r="B106" i="7"/>
  <c r="D108" i="7"/>
  <c r="H108" i="7"/>
  <c r="G108" i="7"/>
  <c r="C108" i="7"/>
  <c r="D110" i="7"/>
  <c r="H110" i="7"/>
  <c r="E110" i="7"/>
  <c r="B110" i="7"/>
  <c r="D112" i="7"/>
  <c r="H112" i="7"/>
  <c r="G112" i="7"/>
  <c r="C112" i="7"/>
  <c r="D114" i="7"/>
  <c r="H114" i="7"/>
  <c r="E114" i="7"/>
  <c r="B114" i="7"/>
  <c r="D116" i="7"/>
  <c r="H116" i="7"/>
  <c r="G116" i="7"/>
  <c r="C116" i="7"/>
  <c r="D118" i="7"/>
  <c r="H118" i="7"/>
  <c r="E118" i="7"/>
  <c r="B118" i="7"/>
  <c r="D120" i="7"/>
  <c r="H120" i="7"/>
  <c r="G120" i="7"/>
  <c r="C120" i="7"/>
  <c r="D122" i="7"/>
  <c r="H122" i="7"/>
  <c r="E122" i="7"/>
  <c r="B122" i="7"/>
  <c r="D6" i="8"/>
  <c r="C6" i="8"/>
  <c r="B36" i="7"/>
  <c r="C36" i="7" s="1"/>
  <c r="G40" i="7"/>
  <c r="H40" i="7" s="1"/>
  <c r="C43" i="7"/>
  <c r="B44" i="7"/>
  <c r="G48" i="7"/>
  <c r="E51" i="7"/>
  <c r="F51" i="7" s="1"/>
  <c r="H51" i="7" s="1"/>
  <c r="C51" i="7"/>
  <c r="E55" i="7"/>
  <c r="F55" i="7" s="1"/>
  <c r="H55" i="7" s="1"/>
  <c r="C55" i="7"/>
  <c r="E59" i="7"/>
  <c r="F59" i="7" s="1"/>
  <c r="H59" i="7" s="1"/>
  <c r="C59" i="7"/>
  <c r="E63" i="7"/>
  <c r="F63" i="7" s="1"/>
  <c r="H63" i="7" s="1"/>
  <c r="C63" i="7"/>
  <c r="E67" i="7"/>
  <c r="F67" i="7" s="1"/>
  <c r="H67" i="7" s="1"/>
  <c r="C67" i="7"/>
  <c r="G69" i="7"/>
  <c r="E71" i="7"/>
  <c r="F71" i="7" s="1"/>
  <c r="H71" i="7" s="1"/>
  <c r="C71" i="7"/>
  <c r="G73" i="7"/>
  <c r="E75" i="7"/>
  <c r="F75" i="7" s="1"/>
  <c r="H75" i="7" s="1"/>
  <c r="C75" i="7"/>
  <c r="G77" i="7"/>
  <c r="B79" i="7"/>
  <c r="C79" i="7" s="1"/>
  <c r="G80" i="7"/>
  <c r="B84" i="7"/>
  <c r="C84" i="7" s="1"/>
  <c r="B88" i="7"/>
  <c r="C90" i="7"/>
  <c r="B92" i="7"/>
  <c r="C94" i="7"/>
  <c r="B96" i="7"/>
  <c r="C98" i="7"/>
  <c r="B100" i="7"/>
  <c r="C102" i="7"/>
  <c r="B104" i="7"/>
  <c r="C106" i="7"/>
  <c r="B108" i="7"/>
  <c r="C110" i="7"/>
  <c r="B112" i="7"/>
  <c r="C114" i="7"/>
  <c r="B116" i="7"/>
  <c r="C118" i="7"/>
  <c r="B120" i="7"/>
  <c r="C122" i="7"/>
  <c r="B6" i="8"/>
  <c r="B21" i="8"/>
  <c r="D21" i="8" s="1"/>
  <c r="F21" i="8"/>
  <c r="C21" i="8"/>
  <c r="E21" i="8" s="1"/>
  <c r="D83" i="7"/>
  <c r="G83" i="7" s="1"/>
  <c r="H83" i="7" s="1"/>
  <c r="D87" i="7"/>
  <c r="D91" i="7"/>
  <c r="H91" i="7"/>
  <c r="D95" i="7"/>
  <c r="H95" i="7"/>
  <c r="D99" i="7"/>
  <c r="H99" i="7"/>
  <c r="D103" i="7"/>
  <c r="H103" i="7"/>
  <c r="D107" i="7"/>
  <c r="H107" i="7"/>
  <c r="D111" i="7"/>
  <c r="H111" i="7"/>
  <c r="D115" i="7"/>
  <c r="H115" i="7"/>
  <c r="D119" i="7"/>
  <c r="H119" i="7"/>
  <c r="D123" i="7"/>
  <c r="H123" i="7"/>
  <c r="D10" i="8"/>
  <c r="B17" i="8"/>
  <c r="D17" i="8" s="1"/>
  <c r="E17" i="8" s="1"/>
  <c r="F17" i="8"/>
  <c r="D26" i="8"/>
  <c r="C31" i="8"/>
  <c r="B33" i="8"/>
  <c r="D33" i="8" s="1"/>
  <c r="E33" i="8" s="1"/>
  <c r="F33" i="8"/>
  <c r="F34" i="8"/>
  <c r="B49" i="8"/>
  <c r="F49" i="8"/>
  <c r="F50" i="8"/>
  <c r="C33" i="8"/>
  <c r="F35" i="8"/>
  <c r="B35" i="8"/>
  <c r="F51" i="8"/>
  <c r="B51" i="8"/>
  <c r="C35" i="8"/>
  <c r="B37" i="8"/>
  <c r="F37" i="8"/>
  <c r="C42" i="8"/>
  <c r="B44" i="8"/>
  <c r="D49" i="8"/>
  <c r="C51" i="8"/>
  <c r="F55" i="8"/>
  <c r="E55" i="8"/>
  <c r="B55" i="8"/>
  <c r="F59" i="8"/>
  <c r="E59" i="8"/>
  <c r="B59" i="8"/>
  <c r="E83" i="7"/>
  <c r="F83" i="7" s="1"/>
  <c r="E87" i="7"/>
  <c r="F87" i="7" s="1"/>
  <c r="H87" i="7" s="1"/>
  <c r="E91" i="7"/>
  <c r="E95" i="7"/>
  <c r="E99" i="7"/>
  <c r="E103" i="7"/>
  <c r="E107" i="7"/>
  <c r="E111" i="7"/>
  <c r="E115" i="7"/>
  <c r="E119" i="7"/>
  <c r="E123" i="7"/>
  <c r="F7" i="8"/>
  <c r="B7" i="8"/>
  <c r="E10" i="8"/>
  <c r="D16" i="8"/>
  <c r="F23" i="8"/>
  <c r="B23" i="8"/>
  <c r="D23" i="8" s="1"/>
  <c r="E23" i="8" s="1"/>
  <c r="E26" i="8"/>
  <c r="C28" i="8"/>
  <c r="E28" i="8" s="1"/>
  <c r="B30" i="8"/>
  <c r="D30" i="8" s="1"/>
  <c r="E30" i="8" s="1"/>
  <c r="D32" i="8"/>
  <c r="D35" i="8"/>
  <c r="F39" i="8"/>
  <c r="B39" i="8"/>
  <c r="E42" i="8"/>
  <c r="C44" i="8"/>
  <c r="E49" i="8"/>
  <c r="D51" i="8"/>
  <c r="E35" i="8"/>
  <c r="B41" i="8"/>
  <c r="F41" i="8"/>
  <c r="E44" i="8"/>
  <c r="E51" i="8"/>
  <c r="G87" i="7"/>
  <c r="G91" i="7"/>
  <c r="G95" i="7"/>
  <c r="G99" i="7"/>
  <c r="G103" i="7"/>
  <c r="G107" i="7"/>
  <c r="G111" i="7"/>
  <c r="G115" i="7"/>
  <c r="G119" i="7"/>
  <c r="G123" i="7"/>
  <c r="D7" i="8"/>
  <c r="E7" i="8" s="1"/>
  <c r="F11" i="8"/>
  <c r="B11" i="8"/>
  <c r="D11" i="8" s="1"/>
  <c r="C16" i="8"/>
  <c r="E16" i="8" s="1"/>
  <c r="D20" i="8"/>
  <c r="E20" i="8" s="1"/>
  <c r="F27" i="8"/>
  <c r="B27" i="8"/>
  <c r="D27" i="8" s="1"/>
  <c r="E27" i="8" s="1"/>
  <c r="F28" i="8"/>
  <c r="C32" i="8"/>
  <c r="B34" i="8"/>
  <c r="D34" i="8" s="1"/>
  <c r="E37" i="8"/>
  <c r="D39" i="8"/>
  <c r="C41" i="8"/>
  <c r="F43" i="8"/>
  <c r="B43" i="8"/>
  <c r="F44" i="8"/>
  <c r="E46" i="8"/>
  <c r="C48" i="8"/>
  <c r="B50" i="8"/>
  <c r="D62" i="8"/>
  <c r="C62" i="8"/>
  <c r="F62" i="8"/>
  <c r="E62" i="8"/>
  <c r="B29" i="8"/>
  <c r="D29" i="8" s="1"/>
  <c r="E29" i="8" s="1"/>
  <c r="F29" i="8"/>
  <c r="F30" i="8"/>
  <c r="E32" i="8"/>
  <c r="C34" i="8"/>
  <c r="B36" i="8"/>
  <c r="E39" i="8"/>
  <c r="D41" i="8"/>
  <c r="C43" i="8"/>
  <c r="B45" i="8"/>
  <c r="F45" i="8"/>
  <c r="F46" i="8"/>
  <c r="E48" i="8"/>
  <c r="C50" i="8"/>
  <c r="B52" i="8"/>
  <c r="D54" i="8"/>
  <c r="C54" i="8"/>
  <c r="B56" i="8"/>
  <c r="D58" i="8"/>
  <c r="C58" i="8"/>
  <c r="B60" i="8"/>
  <c r="B62" i="8"/>
  <c r="F31" i="8"/>
  <c r="B31" i="8"/>
  <c r="D31" i="8" s="1"/>
  <c r="E31" i="8" s="1"/>
  <c r="F32" i="8"/>
  <c r="C36" i="8"/>
  <c r="E41" i="8"/>
  <c r="D43" i="8"/>
  <c r="F47" i="8"/>
  <c r="B47" i="8"/>
  <c r="F48" i="8"/>
  <c r="E50" i="8"/>
  <c r="C52" i="8"/>
  <c r="C56" i="8"/>
  <c r="C60" i="8"/>
  <c r="E61" i="8"/>
  <c r="F53" i="8"/>
  <c r="F57" i="8"/>
  <c r="F61" i="8"/>
  <c r="B63" i="8"/>
  <c r="C63" i="8"/>
  <c r="D63" i="8"/>
  <c r="E63" i="8"/>
  <c r="E34" i="8" l="1"/>
  <c r="H46" i="7"/>
  <c r="H22" i="7"/>
  <c r="E18" i="8"/>
  <c r="E6" i="8"/>
  <c r="D8" i="6" s="1"/>
  <c r="F8" i="6" s="1"/>
  <c r="G8" i="6" s="1"/>
  <c r="H77" i="7"/>
  <c r="AG17" i="4"/>
  <c r="C16" i="6"/>
  <c r="J13" i="6"/>
  <c r="K13" i="6" s="1"/>
  <c r="C17" i="6"/>
  <c r="J14" i="6"/>
  <c r="K14" i="6" s="1"/>
  <c r="C9" i="6"/>
  <c r="C8" i="6"/>
  <c r="C7" i="6"/>
  <c r="C6" i="6"/>
  <c r="C18" i="6"/>
  <c r="J15" i="6"/>
  <c r="K15" i="6" s="1"/>
  <c r="C10" i="6"/>
  <c r="J16" i="6"/>
  <c r="K16" i="6" s="1"/>
  <c r="C11" i="6"/>
  <c r="J8" i="6"/>
  <c r="K8" i="6" s="1"/>
  <c r="J7" i="6"/>
  <c r="K7" i="6" s="1"/>
  <c r="J6" i="6"/>
  <c r="K6" i="6" s="1"/>
  <c r="J5" i="6"/>
  <c r="J17" i="6"/>
  <c r="K17" i="6" s="1"/>
  <c r="C12" i="6"/>
  <c r="J9" i="6"/>
  <c r="K9" i="6" s="1"/>
  <c r="C13" i="6"/>
  <c r="J10" i="6"/>
  <c r="K10" i="6" s="1"/>
  <c r="J18" i="6"/>
  <c r="C14" i="6"/>
  <c r="J11" i="6"/>
  <c r="K11" i="6" s="1"/>
  <c r="C15" i="6"/>
  <c r="J12" i="6"/>
  <c r="K12" i="6" s="1"/>
  <c r="D17" i="6"/>
  <c r="F17" i="6" s="1"/>
  <c r="G17" i="6" s="1"/>
  <c r="D9" i="6"/>
  <c r="F9" i="6" s="1"/>
  <c r="G9" i="6" s="1"/>
  <c r="D12" i="6"/>
  <c r="F12" i="6" s="1"/>
  <c r="G12" i="6" s="1"/>
  <c r="D13" i="6"/>
  <c r="F13" i="6" s="1"/>
  <c r="G13" i="6" s="1"/>
  <c r="D14" i="6"/>
  <c r="F14" i="6" s="1"/>
  <c r="G14" i="6" s="1"/>
  <c r="E15" i="8"/>
  <c r="H25" i="7"/>
  <c r="C5" i="6" s="1"/>
  <c r="AG12" i="4"/>
  <c r="I8" i="6" l="1"/>
  <c r="H8" i="6"/>
  <c r="H13" i="6"/>
  <c r="I13" i="6"/>
  <c r="H17" i="6"/>
  <c r="I17" i="6"/>
  <c r="D11" i="6"/>
  <c r="F11" i="6" s="1"/>
  <c r="G11" i="6" s="1"/>
  <c r="D18" i="6"/>
  <c r="F18" i="6" s="1"/>
  <c r="G18" i="6" s="1"/>
  <c r="H9" i="6"/>
  <c r="I9" i="6"/>
  <c r="K5" i="6"/>
  <c r="D10" i="6"/>
  <c r="F10" i="6" s="1"/>
  <c r="G10" i="6" s="1"/>
  <c r="K18" i="6"/>
  <c r="D5" i="6"/>
  <c r="F5" i="6" s="1"/>
  <c r="G5" i="6" s="1"/>
  <c r="M12" i="4"/>
  <c r="Y12" i="4" s="1"/>
  <c r="C8" i="2"/>
  <c r="D16" i="6"/>
  <c r="F16" i="6" s="1"/>
  <c r="G16" i="6" s="1"/>
  <c r="D6" i="6"/>
  <c r="F6" i="6" s="1"/>
  <c r="G6" i="6" s="1"/>
  <c r="H12" i="6"/>
  <c r="I12" i="6"/>
  <c r="D15" i="6"/>
  <c r="F15" i="6" s="1"/>
  <c r="G15" i="6" s="1"/>
  <c r="D7" i="6"/>
  <c r="F7" i="6" s="1"/>
  <c r="G7" i="6" s="1"/>
  <c r="Y17" i="4"/>
  <c r="M17" i="4"/>
  <c r="H14" i="6"/>
  <c r="I14" i="6"/>
  <c r="B13" i="5" l="1"/>
  <c r="H13" i="5"/>
  <c r="G13" i="5"/>
  <c r="F13" i="5"/>
  <c r="E13" i="5"/>
  <c r="D13" i="5"/>
  <c r="AE12" i="4"/>
  <c r="C13" i="5"/>
  <c r="AD12" i="4"/>
  <c r="AC12" i="4"/>
  <c r="AB12" i="4"/>
  <c r="AA12" i="4"/>
  <c r="AH12" i="4"/>
  <c r="Z12" i="4"/>
  <c r="I5" i="6"/>
  <c r="H5" i="6"/>
  <c r="B18" i="5"/>
  <c r="AH17" i="4"/>
  <c r="E18" i="5"/>
  <c r="D18" i="5"/>
  <c r="AA17" i="4"/>
  <c r="F18" i="5" s="1"/>
  <c r="AB17" i="4"/>
  <c r="G18" i="5" s="1"/>
  <c r="H15" i="6"/>
  <c r="I15" i="6"/>
  <c r="H10" i="6"/>
  <c r="I10" i="6"/>
  <c r="H18" i="6"/>
  <c r="I18" i="6"/>
  <c r="H11" i="6"/>
  <c r="I11" i="6"/>
  <c r="I6" i="6"/>
  <c r="H6" i="6"/>
  <c r="H16" i="6"/>
  <c r="I16" i="6"/>
  <c r="I7" i="6"/>
  <c r="H7" i="6"/>
  <c r="A2" i="4"/>
  <c r="M10" i="4"/>
  <c r="Y10" i="4" s="1"/>
  <c r="M11" i="4"/>
  <c r="Y11" i="4" s="1"/>
  <c r="M5" i="4"/>
  <c r="Y5" i="4" s="1"/>
  <c r="M8" i="4"/>
  <c r="Y8" i="4" s="1"/>
  <c r="M18" i="4"/>
  <c r="Y18" i="4" s="1"/>
  <c r="M15" i="4"/>
  <c r="Y15" i="4" s="1"/>
  <c r="M9" i="4"/>
  <c r="Y9" i="4" s="1"/>
  <c r="AF17" i="4"/>
  <c r="M14" i="4"/>
  <c r="Y14" i="4" s="1"/>
  <c r="M16" i="4"/>
  <c r="Y16" i="4" s="1"/>
  <c r="M7" i="4"/>
  <c r="Y7" i="4" s="1"/>
  <c r="M13" i="4"/>
  <c r="Y13" i="4" s="1"/>
  <c r="M6" i="4"/>
  <c r="Y6" i="4" s="1"/>
  <c r="B7" i="5" l="1"/>
  <c r="E7" i="5"/>
  <c r="D7" i="5"/>
  <c r="AB6" i="4"/>
  <c r="G7" i="5" s="1"/>
  <c r="AA6" i="4"/>
  <c r="F7" i="5" s="1"/>
  <c r="AH6" i="4"/>
  <c r="AF6" i="4" s="1"/>
  <c r="Z6" i="4"/>
  <c r="AC6" i="4" s="1"/>
  <c r="B16" i="5"/>
  <c r="G16" i="5"/>
  <c r="F16" i="5"/>
  <c r="E16" i="5"/>
  <c r="D16" i="5"/>
  <c r="AH15" i="4"/>
  <c r="AF15" i="4" s="1"/>
  <c r="Z15" i="4"/>
  <c r="C16" i="5" s="1"/>
  <c r="AB15" i="4"/>
  <c r="AA15" i="4"/>
  <c r="B12" i="5"/>
  <c r="E12" i="5"/>
  <c r="D12" i="5"/>
  <c r="AB11" i="4"/>
  <c r="G12" i="5" s="1"/>
  <c r="AA11" i="4"/>
  <c r="F12" i="5" s="1"/>
  <c r="AH11" i="4"/>
  <c r="AF11" i="4" s="1"/>
  <c r="Z11" i="4"/>
  <c r="C12" i="5" s="1"/>
  <c r="B11" i="5"/>
  <c r="G11" i="5"/>
  <c r="F11" i="5"/>
  <c r="E11" i="5"/>
  <c r="D11" i="5"/>
  <c r="AA10" i="4"/>
  <c r="AH10" i="4"/>
  <c r="AF10" i="4" s="1"/>
  <c r="Z10" i="4"/>
  <c r="AC10" i="4"/>
  <c r="H11" i="5" s="1"/>
  <c r="C11" i="5"/>
  <c r="AB10" i="4"/>
  <c r="AD10" i="4"/>
  <c r="B15" i="5"/>
  <c r="E15" i="5"/>
  <c r="D15" i="5"/>
  <c r="AB14" i="4"/>
  <c r="G15" i="5" s="1"/>
  <c r="AA14" i="4"/>
  <c r="F15" i="5" s="1"/>
  <c r="AH14" i="4"/>
  <c r="AF14" i="4" s="1"/>
  <c r="Z14" i="4"/>
  <c r="AC14" i="4" s="1"/>
  <c r="C15" i="5"/>
  <c r="B10" i="5"/>
  <c r="F10" i="5"/>
  <c r="E10" i="5"/>
  <c r="D10" i="5"/>
  <c r="C10" i="5"/>
  <c r="AC9" i="4"/>
  <c r="AB9" i="4"/>
  <c r="G10" i="5" s="1"/>
  <c r="AH9" i="4"/>
  <c r="AF9" i="4" s="1"/>
  <c r="Z9" i="4"/>
  <c r="AA9" i="4"/>
  <c r="A2" i="5"/>
  <c r="A2" i="1"/>
  <c r="B9" i="5"/>
  <c r="F9" i="5"/>
  <c r="E9" i="5"/>
  <c r="D9" i="5"/>
  <c r="AB8" i="4"/>
  <c r="G9" i="5" s="1"/>
  <c r="AA8" i="4"/>
  <c r="AH8" i="4"/>
  <c r="AF8" i="4" s="1"/>
  <c r="Z8" i="4"/>
  <c r="AC8" i="4" s="1"/>
  <c r="Z17" i="4"/>
  <c r="B19" i="5"/>
  <c r="AA18" i="4"/>
  <c r="AC18" i="4" s="1"/>
  <c r="AH18" i="4"/>
  <c r="AF18" i="4" s="1"/>
  <c r="Z18" i="4"/>
  <c r="F19" i="5"/>
  <c r="E19" i="5"/>
  <c r="D19" i="5"/>
  <c r="AB18" i="4"/>
  <c r="G19" i="5" s="1"/>
  <c r="C19" i="5"/>
  <c r="B14" i="5"/>
  <c r="G14" i="5"/>
  <c r="F14" i="5"/>
  <c r="E14" i="5"/>
  <c r="D14" i="5"/>
  <c r="AB13" i="4"/>
  <c r="AA13" i="4"/>
  <c r="AH13" i="4"/>
  <c r="AF13" i="4" s="1"/>
  <c r="Z13" i="4"/>
  <c r="AC13" i="4" s="1"/>
  <c r="B8" i="5"/>
  <c r="G8" i="5"/>
  <c r="E8" i="5"/>
  <c r="D8" i="5"/>
  <c r="AH7" i="4"/>
  <c r="AF7" i="4" s="1"/>
  <c r="Z7" i="4"/>
  <c r="C8" i="5" s="1"/>
  <c r="AB7" i="4"/>
  <c r="AA7" i="4"/>
  <c r="F8" i="5" s="1"/>
  <c r="B17" i="5"/>
  <c r="G17" i="5"/>
  <c r="E17" i="5"/>
  <c r="D17" i="5"/>
  <c r="AB16" i="4"/>
  <c r="AA16" i="4"/>
  <c r="F17" i="5" s="1"/>
  <c r="C17" i="5"/>
  <c r="AH16" i="4"/>
  <c r="AF16" i="4" s="1"/>
  <c r="Z16" i="4"/>
  <c r="B6" i="5"/>
  <c r="G6" i="5"/>
  <c r="F6" i="5"/>
  <c r="E6" i="5"/>
  <c r="D6" i="5"/>
  <c r="AB5" i="4"/>
  <c r="A17" i="1"/>
  <c r="A9" i="1"/>
  <c r="AA5" i="4"/>
  <c r="AH5" i="4"/>
  <c r="AF5" i="4" s="1"/>
  <c r="Z5" i="4"/>
  <c r="C6" i="5" s="1"/>
  <c r="A15" i="1"/>
  <c r="A7" i="1"/>
  <c r="A13" i="1"/>
  <c r="A19" i="1"/>
  <c r="A11" i="1"/>
  <c r="A6" i="1"/>
  <c r="A21" i="1"/>
  <c r="A10" i="1"/>
  <c r="A18" i="1"/>
  <c r="A16" i="1"/>
  <c r="A14" i="1"/>
  <c r="A12" i="1"/>
  <c r="A8" i="1"/>
  <c r="H15" i="5" l="1"/>
  <c r="AD14" i="4"/>
  <c r="H7" i="5"/>
  <c r="AD6" i="4"/>
  <c r="H14" i="5"/>
  <c r="AD13" i="4"/>
  <c r="AD18" i="4"/>
  <c r="H19" i="5"/>
  <c r="AD8" i="4"/>
  <c r="H9" i="5"/>
  <c r="C9" i="5"/>
  <c r="H10" i="5"/>
  <c r="G19" i="1"/>
  <c r="E19" i="1"/>
  <c r="C19" i="1"/>
  <c r="I19" i="1"/>
  <c r="H19" i="1"/>
  <c r="F19" i="1"/>
  <c r="D19" i="1"/>
  <c r="B19" i="1"/>
  <c r="AC7" i="4"/>
  <c r="AD9" i="4"/>
  <c r="C18" i="5"/>
  <c r="AC17" i="4"/>
  <c r="AC11" i="4"/>
  <c r="C7" i="5"/>
  <c r="C31" i="5" s="1"/>
  <c r="D42" i="5"/>
  <c r="E33" i="5"/>
  <c r="E25" i="5"/>
  <c r="C42" i="5"/>
  <c r="E34" i="5"/>
  <c r="E26" i="5"/>
  <c r="E35" i="5"/>
  <c r="E27" i="5"/>
  <c r="E28" i="5"/>
  <c r="E29" i="5"/>
  <c r="E30" i="5"/>
  <c r="F42" i="5"/>
  <c r="E31" i="5"/>
  <c r="E42" i="5"/>
  <c r="E32" i="5"/>
  <c r="E24" i="5"/>
  <c r="AC5" i="4"/>
  <c r="AE9" i="4" s="1"/>
  <c r="G35" i="5"/>
  <c r="G27" i="5"/>
  <c r="G28" i="5"/>
  <c r="F44" i="5"/>
  <c r="G29" i="5"/>
  <c r="E44" i="5"/>
  <c r="G30" i="5"/>
  <c r="D44" i="5"/>
  <c r="G31" i="5"/>
  <c r="C44" i="5"/>
  <c r="G32" i="5"/>
  <c r="G24" i="5"/>
  <c r="B44" i="5"/>
  <c r="G33" i="5"/>
  <c r="G25" i="5"/>
  <c r="G34" i="5"/>
  <c r="G26" i="5"/>
  <c r="B30" i="5"/>
  <c r="B31" i="5"/>
  <c r="B32" i="5"/>
  <c r="B24" i="5"/>
  <c r="B33" i="5"/>
  <c r="B25" i="5"/>
  <c r="B34" i="5"/>
  <c r="B26" i="5"/>
  <c r="B35" i="5"/>
  <c r="B27" i="5"/>
  <c r="B28" i="5"/>
  <c r="B29" i="5"/>
  <c r="AC16" i="4"/>
  <c r="D32" i="5"/>
  <c r="D24" i="5"/>
  <c r="D33" i="5"/>
  <c r="D25" i="5"/>
  <c r="D34" i="5"/>
  <c r="D26" i="5"/>
  <c r="D35" i="5"/>
  <c r="D27" i="5"/>
  <c r="F41" i="5"/>
  <c r="D28" i="5"/>
  <c r="E41" i="5"/>
  <c r="D29" i="5"/>
  <c r="D41" i="5"/>
  <c r="D30" i="5"/>
  <c r="C41" i="5"/>
  <c r="D31" i="5"/>
  <c r="C14" i="5"/>
  <c r="C34" i="5" s="1"/>
  <c r="AC15" i="4"/>
  <c r="F43" i="5"/>
  <c r="F34" i="5"/>
  <c r="F26" i="5"/>
  <c r="E43" i="5"/>
  <c r="F35" i="5"/>
  <c r="F27" i="5"/>
  <c r="D43" i="5"/>
  <c r="F28" i="5"/>
  <c r="C43" i="5"/>
  <c r="F29" i="5"/>
  <c r="B43" i="5"/>
  <c r="F30" i="5"/>
  <c r="F31" i="5"/>
  <c r="F32" i="5"/>
  <c r="F24" i="5"/>
  <c r="F33" i="5"/>
  <c r="F25" i="5"/>
  <c r="H18" i="5" l="1"/>
  <c r="AD17" i="4"/>
  <c r="AE17" i="4"/>
  <c r="B40" i="5"/>
  <c r="E40" i="5"/>
  <c r="C28" i="5"/>
  <c r="C25" i="5"/>
  <c r="B41" i="5"/>
  <c r="AE5" i="4"/>
  <c r="AD5" i="4"/>
  <c r="H6" i="5"/>
  <c r="C40" i="5"/>
  <c r="C33" i="5"/>
  <c r="H17" i="5"/>
  <c r="AE16" i="4"/>
  <c r="AD16" i="4"/>
  <c r="H8" i="5"/>
  <c r="AD7" i="4"/>
  <c r="AE7" i="4"/>
  <c r="C27" i="5"/>
  <c r="F40" i="5"/>
  <c r="AE8" i="4"/>
  <c r="AE6" i="4"/>
  <c r="C35" i="5"/>
  <c r="C24" i="5"/>
  <c r="AE18" i="4"/>
  <c r="D40" i="5"/>
  <c r="C32" i="5"/>
  <c r="B42" i="5"/>
  <c r="AE11" i="4"/>
  <c r="AD11" i="4"/>
  <c r="H12" i="5"/>
  <c r="C30" i="5"/>
  <c r="C26" i="5"/>
  <c r="AE14" i="4"/>
  <c r="AE15" i="4"/>
  <c r="H16" i="5"/>
  <c r="AD15" i="4"/>
  <c r="AE10" i="4"/>
  <c r="C29" i="5"/>
  <c r="AE13" i="4"/>
  <c r="B45" i="5" l="1"/>
  <c r="H28" i="5"/>
  <c r="H29" i="5"/>
  <c r="H30" i="5"/>
  <c r="G45" i="5"/>
  <c r="H31" i="5"/>
  <c r="F45" i="5"/>
  <c r="H32" i="5"/>
  <c r="H24" i="5"/>
  <c r="E45" i="5"/>
  <c r="H33" i="5"/>
  <c r="H25" i="5"/>
  <c r="D45" i="5"/>
  <c r="H34" i="5"/>
  <c r="H26" i="5"/>
  <c r="C45" i="5"/>
  <c r="H35" i="5"/>
  <c r="H27" i="5"/>
  <c r="G44" i="5"/>
  <c r="G43" i="5"/>
  <c r="G40" i="5"/>
  <c r="G41" i="5"/>
  <c r="G42" i="5"/>
  <c r="E12" i="1"/>
  <c r="H11" i="1"/>
  <c r="G16" i="1"/>
  <c r="D18" i="1"/>
  <c r="E9" i="1"/>
  <c r="I13" i="1"/>
  <c r="D6" i="1"/>
  <c r="H10" i="1"/>
  <c r="C7" i="1"/>
  <c r="I8" i="1"/>
  <c r="H14" i="1"/>
  <c r="C17" i="1"/>
  <c r="C12" i="1"/>
  <c r="F11" i="1"/>
  <c r="E16" i="1"/>
  <c r="B18" i="1"/>
  <c r="C9" i="1"/>
  <c r="G13" i="1"/>
  <c r="B6" i="1"/>
  <c r="F10" i="1"/>
  <c r="I7" i="1"/>
  <c r="G8" i="1"/>
  <c r="F14" i="1"/>
  <c r="B17" i="1"/>
  <c r="D15" i="1"/>
  <c r="F12" i="1"/>
  <c r="G11" i="1"/>
  <c r="C16" i="1"/>
  <c r="E18" i="1"/>
  <c r="F9" i="1"/>
  <c r="B13" i="1"/>
  <c r="H6" i="1"/>
  <c r="D10" i="1"/>
  <c r="G7" i="1"/>
  <c r="E8" i="1"/>
  <c r="D12" i="1"/>
  <c r="E11" i="1"/>
  <c r="I16" i="1"/>
  <c r="C18" i="1"/>
  <c r="D9" i="1"/>
  <c r="F13" i="1"/>
  <c r="F6" i="1"/>
  <c r="B10" i="1"/>
  <c r="E7" i="1"/>
  <c r="B8" i="1"/>
  <c r="G14" i="1"/>
  <c r="F17" i="1"/>
  <c r="F15" i="1"/>
  <c r="B12" i="1"/>
  <c r="C11" i="1"/>
  <c r="B16" i="1"/>
  <c r="I18" i="1"/>
  <c r="B9" i="1"/>
  <c r="H13" i="1"/>
  <c r="E6" i="1"/>
  <c r="I10" i="1"/>
  <c r="H7" i="1"/>
  <c r="H8" i="1"/>
  <c r="E14" i="1"/>
  <c r="D17" i="1"/>
  <c r="B15" i="1"/>
  <c r="H17" i="1"/>
  <c r="H12" i="1"/>
  <c r="I11" i="1"/>
  <c r="H16" i="1"/>
  <c r="G18" i="1"/>
  <c r="H9" i="1"/>
  <c r="D13" i="1"/>
  <c r="I6" i="1"/>
  <c r="C10" i="1"/>
  <c r="F7" i="1"/>
  <c r="F8" i="1"/>
  <c r="C14" i="1"/>
  <c r="I17" i="1"/>
  <c r="C15" i="1"/>
  <c r="G17" i="1"/>
  <c r="H15" i="1"/>
  <c r="I12" i="1"/>
  <c r="D11" i="1"/>
  <c r="F16" i="1"/>
  <c r="H18" i="1"/>
  <c r="I9" i="1"/>
  <c r="E13" i="1"/>
  <c r="G6" i="1"/>
  <c r="G10" i="1"/>
  <c r="D7" i="1"/>
  <c r="D8" i="1"/>
  <c r="D14" i="1"/>
  <c r="I15" i="1"/>
  <c r="G12" i="1"/>
  <c r="B11" i="1"/>
  <c r="D16" i="1"/>
  <c r="F18" i="1"/>
  <c r="G9" i="1"/>
  <c r="C13" i="1"/>
  <c r="C6" i="1"/>
  <c r="E10" i="1"/>
  <c r="B7" i="1"/>
  <c r="C8" i="1"/>
  <c r="B14" i="1"/>
  <c r="E17" i="1"/>
  <c r="G15" i="1"/>
  <c r="E15" i="1"/>
  <c r="I14" i="1"/>
</calcChain>
</file>

<file path=xl/sharedStrings.xml><?xml version="1.0" encoding="utf-8"?>
<sst xmlns="http://schemas.openxmlformats.org/spreadsheetml/2006/main" count="2662" uniqueCount="896">
  <si>
    <t>Coastal tourism risk index (TSRI / CTRS) — result</t>
  </si>
  <si>
    <t>Higher TSRI = higher risk. Sorted by rank. Change options in CTRS_Control; tourist numbers go in CTRS_Inputs.</t>
  </si>
  <si>
    <t>Rank</t>
  </si>
  <si>
    <t>State</t>
  </si>
  <si>
    <t>Pantai share</t>
  </si>
  <si>
    <t>X</t>
  </si>
  <si>
    <t>Y</t>
  </si>
  <si>
    <t>Z</t>
  </si>
  <si>
    <t>TSRI</t>
  </si>
  <si>
    <t>TSRI (0–1)</t>
  </si>
  <si>
    <t>LCC note</t>
  </si>
  <si>
    <t>CTRS / TSRI — control panel</t>
  </si>
  <si>
    <t>Yellow cells = you can change. Everything else is formula. Pick from the dropdown.</t>
  </si>
  <si>
    <t>Switch</t>
  </si>
  <si>
    <t>Value</t>
  </si>
  <si>
    <t>Options / note</t>
  </si>
  <si>
    <t>HOTEL_BASIS</t>
  </si>
  <si>
    <t>HOTELS</t>
  </si>
  <si>
    <t>HOTELS | ROOMS — pantai share = beach hotels/total hotels (your spec) or beach rooms/total rooms</t>
  </si>
  <si>
    <t>TOTAL_BASIS</t>
  </si>
  <si>
    <t>REPORTED</t>
  </si>
  <si>
    <t>REPORTED | SUM_CATEGORIES — Johor total hotels (496) ≠ sum of its 4 categories (475); Terengganu total rooms (11,667) ≠ sum (11,677); see CTRS_Calc col AF</t>
  </si>
  <si>
    <t>X_METHOD</t>
  </si>
  <si>
    <t>AUTO</t>
  </si>
  <si>
    <t>AUTO | TOURISTS | SHARE_ONLY — TOURISTS = share × tourists (your plan). SHARE_ONLY = provisional, no tourist data needed. AUTO uses TOURISTS when every state that has hotel+MMWQI+LCC data also has a tourist count (now true)</t>
  </si>
  <si>
    <t>X_METHOD_IN_USE</t>
  </si>
  <si>
    <t>Result of the switch above (formula)</t>
  </si>
  <si>
    <t>X_NORM</t>
  </si>
  <si>
    <t>MAX</t>
  </si>
  <si>
    <t>MAX (X / max X, same as original) | MINMAX</t>
  </si>
  <si>
    <t>MMWQI_YEAR</t>
  </si>
  <si>
    <t>2021 | 2022 | 2023 | 2024 | 2025 — year of MMWQI used for the state mean (hotel data is 2025)</t>
  </si>
  <si>
    <t>LCC_WEIGHT</t>
  </si>
  <si>
    <t>SITES</t>
  </si>
  <si>
    <t>SITES (weight islands by no. of survey sites) | SIMPLE (plain mean of island LCC)</t>
  </si>
  <si>
    <t>w_X</t>
  </si>
  <si>
    <t>TSRI = w_X·X + w_Y·Y − w_Z·Z</t>
  </si>
  <si>
    <t>w_Y</t>
  </si>
  <si>
    <t>w_Z</t>
  </si>
  <si>
    <t>w_MMWQI</t>
  </si>
  <si>
    <t>Y = w_MMWQI·(1−MMWQI/100) + w_LCC·(1−LCC/100)</t>
  </si>
  <si>
    <t>w_LCC</t>
  </si>
  <si>
    <t>weight check</t>
  </si>
  <si>
    <t>TOURIST_YEAR</t>
  </si>
  <si>
    <t>2021 | 2022 | 2023 | 2024 | 2025 — year of domestic tourists (DOSM DTS Table 10, all origins) used for X</t>
  </si>
  <si>
    <t>LCC_MISSING</t>
  </si>
  <si>
    <t>ZERO</t>
  </si>
  <si>
    <t>States with hotel+MMWQI data but no LCC survey sites: EXCLUDE (drop) | ZERO (LCC = 0%, Z = 0 → max coral stress, your idea) | NO_STRESS (LCC = 100%, Z = 0 → no coral stress) | MMWQI_ONLY (Y = MMWQI term only, Z = 0)</t>
  </si>
  <si>
    <t>Z_METHOD</t>
  </si>
  <si>
    <t>MPA_AREA</t>
  </si>
  <si>
    <t>MPA_AREA = protection-weighted protected marine area / total marine area (MPA sheet; weights in table below)</t>
  </si>
  <si>
    <t>Z_DENOM</t>
  </si>
  <si>
    <t>MYIMCA</t>
  </si>
  <si>
    <t>Total marine area used when Z_METHOD = MPA_AREA: MYIMCA (state marine area from MyIMCA sheet, shared sites split equally) | NATIONAL_SEA (Malaysia Territorial Sea from MPA sheet; Z scaled by max state) | MANUAL (type state marine areas in CTRS_Z column F)</t>
  </si>
  <si>
    <t>MPA_WEIGHTS</t>
  </si>
  <si>
    <t>LEVELS</t>
  </si>
  <si>
    <t>LEVELS = protection-weighted (stricter MPA counts more, see table) | BINARY = every MPA counts 1 (plain coverage)</t>
  </si>
  <si>
    <t>MPA TYPE → protection weight (protected area counted = size × weight). Edit yellow cells E:F.</t>
  </si>
  <si>
    <t>MPA sheet "TYPE"</t>
  </si>
  <si>
    <t>Weight used</t>
  </si>
  <si>
    <t>Note</t>
  </si>
  <si>
    <t>LEVELS weight</t>
  </si>
  <si>
    <t>BINARY weight</t>
  </si>
  <si>
    <t>MPA Most Restrictive</t>
  </si>
  <si>
    <t>Anchor: 1.0</t>
  </si>
  <si>
    <t>MPA Moderately Restrictive</t>
  </si>
  <si>
    <t>Interpolated between most (1.0) and least (0.5)</t>
  </si>
  <si>
    <t>MPA Less Restrictive</t>
  </si>
  <si>
    <t>Interpolated</t>
  </si>
  <si>
    <t>MPA Least Restrictive</t>
  </si>
  <si>
    <t>Anchor: 0.5</t>
  </si>
  <si>
    <t>Non-MPA Fisheries Management Area</t>
  </si>
  <si>
    <t>Pulau Singa sea cucumber area (Kedah)</t>
  </si>
  <si>
    <t>Non-MPA Jurisdictional Authority Area</t>
  </si>
  <si>
    <t>National EEZ / Territorial Sea rows — not a state protected area</t>
  </si>
  <si>
    <t>Domestic tourists by state (pulled from data)</t>
  </si>
  <si>
    <t>Unit: '000 tourists. Source: DOSM Domestic Tourism Survey, Table 10 (sheet total_number_of_tourist), origin = Malaysia (all origins). Year: CTRS_Control!C18.</t>
  </si>
  <si>
    <t>Yellow column = optional override in the same unit. Leave blank to use the data.</t>
  </si>
  <si>
    <t>From data ('000)</t>
  </si>
  <si>
    <t>Override ('000)</t>
  </si>
  <si>
    <t>Used ('000)</t>
  </si>
  <si>
    <t>Johor</t>
  </si>
  <si>
    <t>Kedah</t>
  </si>
  <si>
    <t>Kelantan</t>
  </si>
  <si>
    <t>Melaka</t>
  </si>
  <si>
    <t>Negeri Sembilan</t>
  </si>
  <si>
    <t>Pahang</t>
  </si>
  <si>
    <t>Perak</t>
  </si>
  <si>
    <t>Perlis</t>
  </si>
  <si>
    <t>Pulau Pinang</t>
  </si>
  <si>
    <t>Sabah</t>
  </si>
  <si>
    <t>Sarawak</t>
  </si>
  <si>
    <t>Selangor</t>
  </si>
  <si>
    <t>Terengganu</t>
  </si>
  <si>
    <t>W.P. Labuan</t>
  </si>
  <si>
    <t>Calculation sheet (formulas; blue cells in B:D are the state-name aliases used to match each source sheet)</t>
  </si>
  <si>
    <t>Name in hotel sheet</t>
  </si>
  <si>
    <t>Name in MMWQI sheet</t>
  </si>
  <si>
    <t>Name in LCC sheet</t>
  </si>
  <si>
    <t>Pantai hotels</t>
  </si>
  <si>
    <t>Total hotels (reported)</t>
  </si>
  <si>
    <t>Total hotels (sum of categories)</t>
  </si>
  <si>
    <t>Pantai rooms</t>
  </si>
  <si>
    <t>Total rooms</t>
  </si>
  <si>
    <t>Domestic tourists ('000)</t>
  </si>
  <si>
    <t>Est. beach tourists ('000) = share × tourists</t>
  </si>
  <si>
    <t>X raw</t>
  </si>
  <si>
    <t>MMWQI stations (n)</t>
  </si>
  <si>
    <t>MMWQI mean</t>
  </si>
  <si>
    <t>MMWQI min</t>
  </si>
  <si>
    <t>MMWQI max</t>
  </si>
  <si>
    <t>LCC survey sites</t>
  </si>
  <si>
    <t>LCC (%)</t>
  </si>
  <si>
    <t>Has hotel data</t>
  </si>
  <si>
    <t>Has MMWQI</t>
  </si>
  <si>
    <t>Has LCC</t>
  </si>
  <si>
    <t>Has tourists</t>
  </si>
  <si>
    <t>Included in index</t>
  </si>
  <si>
    <t>Rank (1 = highest risk)</t>
  </si>
  <si>
    <t>Data check</t>
  </si>
  <si>
    <t>Core data complete</t>
  </si>
  <si>
    <t>LCC substituted</t>
  </si>
  <si>
    <t>Malacca</t>
  </si>
  <si>
    <t>N. Sembilan</t>
  </si>
  <si>
    <t>Ng. Sembilan</t>
  </si>
  <si>
    <t>P. Pinang</t>
  </si>
  <si>
    <t>Notes</t>
  </si>
  <si>
    <t>J: pantai share = beach hotels / total hotels (or rooms, see Control). L = J × K (your new X numerator). Z(X) = L / max(L) when X_METHOD_IN_USE = TOURISTS.</t>
  </si>
  <si>
    <t>Included = hotel + MMWQI data (+ LCC data, or a substitute per CTRS_Control!C19) (+ tourist count when method = TOURISTS).</t>
  </si>
  <si>
    <t>S: LCC state value from LCC sheet, used in Y (environmental stress).</t>
  </si>
  <si>
    <t>Y = w_MMWQI(1−MMWQI/100) + w_LCC(1−LCC/100).  Z = protection-weighted MPA area / total marine area (CTRS_Z).  TSRI = w_X·X + w_Y·Y − w_Z·Z.  TSRI (0–1) = same ranking, shifted to start at 0.</t>
  </si>
  <si>
    <t>Descriptive statistics &amp; correlation (included states only)</t>
  </si>
  <si>
    <t>Descriptive statistics</t>
  </si>
  <si>
    <t>Statistic</t>
  </si>
  <si>
    <t>n</t>
  </si>
  <si>
    <t>Mean</t>
  </si>
  <si>
    <t>SD</t>
  </si>
  <si>
    <t>Min</t>
  </si>
  <si>
    <t>Q1</t>
  </si>
  <si>
    <t>Median</t>
  </si>
  <si>
    <t>Q3</t>
  </si>
  <si>
    <t>Max</t>
  </si>
  <si>
    <t>Range</t>
  </si>
  <si>
    <t>CV (SD/mean)</t>
  </si>
  <si>
    <t>Skewness</t>
  </si>
  <si>
    <t>Excess kurtosis</t>
  </si>
  <si>
    <t>Pearson correlation (heatmap: blue = −1, white = 0, red = +1)</t>
  </si>
  <si>
    <t>MMWQI</t>
  </si>
  <si>
    <t>LCC</t>
  </si>
  <si>
    <t>Note: TSRI is a linear mix of X, Y, Z, so its correlations with them are partly mechanical. n is small — treat correlations as descriptive.</t>
  </si>
  <si>
    <t>LCC column uses only states with real LCC data; Z column uses only states with a real Z (a state with no total marine area is blank); other columns use all included states.</t>
  </si>
  <si>
    <t>Z = Σ(MPA area × protection weight) / total marine area</t>
  </si>
  <si>
    <t>National Territorial Sea (ha), from MPA sheet</t>
  </si>
  <si>
    <t>MyIMCA search key</t>
  </si>
  <si>
    <t>Protection-weighted MPA area (ha)</t>
  </si>
  <si>
    <t>MyIMCA marine area (ha)</t>
  </si>
  <si>
    <t>Manual total marine area (ha) — optional</t>
  </si>
  <si>
    <t>Total marine area used (ha)</t>
  </si>
  <si>
    <t>Ratio</t>
  </si>
  <si>
    <t>Flag</t>
  </si>
  <si>
    <t>MPA area, unweighted (ha)</t>
  </si>
  <si>
    <t>Avg protection strength (weighted / unweighted)</t>
  </si>
  <si>
    <t>Labuan</t>
  </si>
  <si>
    <t>Z_DENOM MYIMCA: the total is the sum of MyIMCA sites for the state; shared sites (e.g. Johor/Pahang) are split equally. Sites with a missing area count as 0, so some denominators are slightly low.</t>
  </si>
  <si>
    <t>Z_DENOM NATIONAL_SEA: every state uses the national Territorial Sea; Z is the ratio divided by the largest state ratio so it sits on a 0–1 scale.</t>
  </si>
  <si>
    <t>MPA areas may overlap (e.g. Miri-Sibuti park contains the Miri and Sibuti reef areas); the sum can double count. Luconia Shoals (Sarawak) is far offshore.</t>
  </si>
  <si>
    <t>States with no MPA rows in the MPA sheet (Selangor, Perak, Kelantan, Perlis) get protected area 0. Column K shows how strict a state's MPAs are on average (1 = all most-restrictive).</t>
  </si>
  <si>
    <t>MPA sites cleaned: state mapping, area in ha, protected weight</t>
  </si>
  <si>
    <t>Reads sheet MPA (rows 3–120). Blue mapping table on the right fixes location names (e.g. "Pehang" typo → Pahang). Add a row there if a new location appears (shows "?").</t>
  </si>
  <si>
    <t>Name</t>
  </si>
  <si>
    <t>LOCATION (raw)</t>
  </si>
  <si>
    <t>State (standard)</t>
  </si>
  <si>
    <t>TYPE</t>
  </si>
  <si>
    <t>SIZE (text)</t>
  </si>
  <si>
    <t>Area (ha)</t>
  </si>
  <si>
    <t>Type weight</t>
  </si>
  <si>
    <t>Protected ha counted</t>
  </si>
  <si>
    <t>LOCATION in MPA sheet</t>
  </si>
  <si>
    <t>Standard state</t>
  </si>
  <si>
    <t>Malaysia</t>
  </si>
  <si>
    <t>NATIONAL</t>
  </si>
  <si>
    <t>Malaysia, Johor</t>
  </si>
  <si>
    <t>Malaysia, Kedah</t>
  </si>
  <si>
    <t>Malaysia, Malacca</t>
  </si>
  <si>
    <t>Malaysia, Negeri Sembilan</t>
  </si>
  <si>
    <t>Malaysia, Pahang</t>
  </si>
  <si>
    <t>Malaysia, Pehang</t>
  </si>
  <si>
    <t>Malaysia, Penang</t>
  </si>
  <si>
    <t>Malaysia, Sabah</t>
  </si>
  <si>
    <t>Malaysia, Sarawak</t>
  </si>
  <si>
    <t>Malaysia, Terengganu</t>
  </si>
  <si>
    <t>Malaysia, The Federal Territory of Labuan</t>
  </si>
  <si>
    <t>Malaysia, Selangor</t>
  </si>
  <si>
    <t>Malaysia, Perak</t>
  </si>
  <si>
    <t>Malaysia, Kelantan</t>
  </si>
  <si>
    <t>Malaysia, Perlis</t>
  </si>
  <si>
    <t>MyIMCA marine area by site, shared sites split equally between their states</t>
  </si>
  <si>
    <t>Reads sheet MyIMCA (rows 3–60). Sites whose area is text (e.g. "[verify]") count as 0 and are flagged.</t>
  </si>
  <si>
    <t>Site</t>
  </si>
  <si>
    <t>State field</t>
  </si>
  <si>
    <t>Area (ha, numeric)</t>
  </si>
  <si>
    <t>No. of states</t>
  </si>
  <si>
    <t>Area per state (ha)</t>
  </si>
  <si>
    <t>Location</t>
  </si>
  <si>
    <t>Hotels</t>
  </si>
  <si>
    <t>Rooms</t>
  </si>
  <si>
    <t>Bandar/ pekan/ City/ town</t>
  </si>
  <si>
    <t>Pantai/ Beach</t>
  </si>
  <si>
    <t>Gunung/ Hill</t>
  </si>
  <si>
    <t>Lain-lain/ Others</t>
  </si>
  <si>
    <t>Jumlah/ Total</t>
  </si>
  <si>
    <t>W.P. Kuala Lumpur</t>
  </si>
  <si>
    <t>W.P. Putrajaya</t>
  </si>
  <si>
    <t>Jadual 10 / Table 10: Number of domestic tourists by state of origin and state visited, 2011-2025</t>
  </si>
  <si>
    <t>Unit: '000</t>
  </si>
  <si>
    <t>Source: Domestic Tourism Survey (DTS), Department of Statistics Malaysia - Jadual 10 of each annual report (DTS_2011.xlsx - DTS_2025.xlsx)</t>
  </si>
  <si>
    <t>State Origin</t>
  </si>
  <si>
    <t>State Visited</t>
  </si>
  <si>
    <t>2011</t>
  </si>
  <si>
    <t>2012</t>
  </si>
  <si>
    <t>2013</t>
  </si>
  <si>
    <t>2014</t>
  </si>
  <si>
    <t>2015</t>
  </si>
  <si>
    <t>2016</t>
  </si>
  <si>
    <t>2017</t>
  </si>
  <si>
    <t>2018</t>
  </si>
  <si>
    <t>2019</t>
  </si>
  <si>
    <t>2020</t>
  </si>
  <si>
    <t>2021</t>
  </si>
  <si>
    <t>2022</t>
  </si>
  <si>
    <t>2023</t>
  </si>
  <si>
    <t>2024</t>
  </si>
  <si>
    <t>2025</t>
  </si>
  <si>
    <t xml:space="preserve">Level of Fishing Protection - Marine Protected Area (MPA) </t>
  </si>
  <si>
    <t>https://map.navigatormap.org/countries/Malaysia%20(Peninsula%20East)</t>
  </si>
  <si>
    <t>No</t>
  </si>
  <si>
    <t>NAME</t>
  </si>
  <si>
    <t>LOCATION</t>
  </si>
  <si>
    <t>SIZE</t>
  </si>
  <si>
    <t>size_ha</t>
  </si>
  <si>
    <t>Malaysia EEZ</t>
  </si>
  <si>
    <t>510,804 km2</t>
  </si>
  <si>
    <t>Malaysia Territorial Sea</t>
  </si>
  <si>
    <t>120,242 km2</t>
  </si>
  <si>
    <t>Penang National Park</t>
  </si>
  <si>
    <t>12 km2</t>
  </si>
  <si>
    <t>Pulau Aur Marine Park</t>
  </si>
  <si>
    <t>100 km2</t>
  </si>
  <si>
    <t>Pulau Tinggi Marine Park</t>
  </si>
  <si>
    <t>Pulau Pemanggil Marine Park</t>
  </si>
  <si>
    <t>95 km2</t>
  </si>
  <si>
    <t>Pulau Sibu Marine Park</t>
  </si>
  <si>
    <t>90 km2</t>
  </si>
  <si>
    <t>Pulau Babi Besar Marine Park</t>
  </si>
  <si>
    <t>79 km2</t>
  </si>
  <si>
    <t>Pulau Babi Hujong Marine Park</t>
  </si>
  <si>
    <t>50 km2</t>
  </si>
  <si>
    <t>Pulau Babi Tengah Marine Park</t>
  </si>
  <si>
    <t>48 km2</t>
  </si>
  <si>
    <t>Pulau Rawa Marine Park</t>
  </si>
  <si>
    <t>Pulau Harimau Marine Park</t>
  </si>
  <si>
    <t>47 km2</t>
  </si>
  <si>
    <t>Pulau Mensirip Marine Park</t>
  </si>
  <si>
    <t>46 km2</t>
  </si>
  <si>
    <t>Pulau Gual Marine Park</t>
  </si>
  <si>
    <t>45 km2</t>
  </si>
  <si>
    <t>Pulau Sibu Hujong Marine Park</t>
  </si>
  <si>
    <t>Pulau Mentigi Marine Park</t>
  </si>
  <si>
    <t>33 km2</t>
  </si>
  <si>
    <t>Tanjong Piai National Park</t>
  </si>
  <si>
    <t>1 km2</t>
  </si>
  <si>
    <t>Pulau Kukup National Park</t>
  </si>
  <si>
    <t>0.48 km2</t>
  </si>
  <si>
    <t>Endau-Kota Tinggi</t>
  </si>
  <si>
    <t>0.08 km2</t>
  </si>
  <si>
    <t>Four Islands Sanctuary</t>
  </si>
  <si>
    <t>0.03 km2</t>
  </si>
  <si>
    <t>Pulau Payar Marine Park</t>
  </si>
  <si>
    <t>55 km2</t>
  </si>
  <si>
    <t>Pulau Lembu Marine Park</t>
  </si>
  <si>
    <t>Pulau Kacha Marine Park</t>
  </si>
  <si>
    <t>44 km2</t>
  </si>
  <si>
    <t>Pulau Segantang Marine Park</t>
  </si>
  <si>
    <t>43 km2</t>
  </si>
  <si>
    <t>Pulau Singa Besar Sea Cucumber Protection Area</t>
  </si>
  <si>
    <t>0.38 km2</t>
  </si>
  <si>
    <t>Pulau Besar Fisheries Prohibited Areas</t>
  </si>
  <si>
    <t>20 km2</t>
  </si>
  <si>
    <t>Tanjung Tuan Fisheries Prohibited Areas</t>
  </si>
  <si>
    <t>3 km2</t>
  </si>
  <si>
    <t>Nine Islands</t>
  </si>
  <si>
    <t>0.16 km2</t>
  </si>
  <si>
    <t>Tanjung Tuan</t>
  </si>
  <si>
    <t>0.02 km2</t>
  </si>
  <si>
    <t>Tanjung Tuan 2 Fisheries Prohibited Areas</t>
  </si>
  <si>
    <t>Tanjung Tuan 1 Fisheries Prohibited Areas</t>
  </si>
  <si>
    <t>7 km2</t>
  </si>
  <si>
    <t>Port Dickson Island Bird Sanctuary</t>
  </si>
  <si>
    <t>0.04 km2</t>
  </si>
  <si>
    <t>Pulau Tioman Marine Park</t>
  </si>
  <si>
    <t>443 km2</t>
  </si>
  <si>
    <t>Kuala Pahang</t>
  </si>
  <si>
    <t>0.91 km2</t>
  </si>
  <si>
    <t>Bebar</t>
  </si>
  <si>
    <t>0.09 km2</t>
  </si>
  <si>
    <t>Pahang Tua</t>
  </si>
  <si>
    <t>0.06 km2</t>
  </si>
  <si>
    <t>Tioman Island</t>
  </si>
  <si>
    <t>Sungai Miang</t>
  </si>
  <si>
    <t>Pulau Seri Buat and Pulau Sembilang Marine Parks</t>
  </si>
  <si>
    <t>92 km2</t>
  </si>
  <si>
    <t>Sugud Islands Marine Conservation Area - SIMCA</t>
  </si>
  <si>
    <t>454 km2</t>
  </si>
  <si>
    <t>Tun Sakaran Marine Park</t>
  </si>
  <si>
    <t>346 km2</t>
  </si>
  <si>
    <t>Sipadan Island Park</t>
  </si>
  <si>
    <t>168 km2</t>
  </si>
  <si>
    <t>Pulau Tiga Park Marine Park</t>
  </si>
  <si>
    <t>155 km2</t>
  </si>
  <si>
    <t>Tunku Abdul Rahman Park</t>
  </si>
  <si>
    <t>36 km2</t>
  </si>
  <si>
    <t>Turtle Islands Park</t>
  </si>
  <si>
    <t>16 km2</t>
  </si>
  <si>
    <t>Tun Mustapha Park</t>
  </si>
  <si>
    <t>8,360 km2</t>
  </si>
  <si>
    <t>Pulau Tukong Ara-Banun</t>
  </si>
  <si>
    <t>0.10 km2</t>
  </si>
  <si>
    <t>Sibuti</t>
  </si>
  <si>
    <t>Luconia Shoals National Park</t>
  </si>
  <si>
    <t>9,957 km2</t>
  </si>
  <si>
    <t>Miri-Sibuti Coral Reefs National Park</t>
  </si>
  <si>
    <t>2,653 km2</t>
  </si>
  <si>
    <t>Miri Coral Reef</t>
  </si>
  <si>
    <t>406 km2</t>
  </si>
  <si>
    <t>Talang-Satang National Park</t>
  </si>
  <si>
    <t>Sibuti Coral Reef</t>
  </si>
  <si>
    <t>98 km2</t>
  </si>
  <si>
    <t>Similajau National Park</t>
  </si>
  <si>
    <t>Kuching Wetland National Park</t>
  </si>
  <si>
    <t>10 km2</t>
  </si>
  <si>
    <t>Rajang Mangrove National Park</t>
  </si>
  <si>
    <t>9 km2</t>
  </si>
  <si>
    <t>Limbang Mangrove National Park</t>
  </si>
  <si>
    <t>Pulau Tun Ahmad Zaidi</t>
  </si>
  <si>
    <t>4 km2</t>
  </si>
  <si>
    <t>Bako National Park</t>
  </si>
  <si>
    <t>Santubong National Park</t>
  </si>
  <si>
    <t>2 km2</t>
  </si>
  <si>
    <t>Tanjung Datu National Park</t>
  </si>
  <si>
    <t>0.36 km2</t>
  </si>
  <si>
    <t>Pulau Redang Marine Park</t>
  </si>
  <si>
    <t>158 km2</t>
  </si>
  <si>
    <t>Pulau Perhentian Besar Marine Park</t>
  </si>
  <si>
    <t>89 km2</t>
  </si>
  <si>
    <t>Pulau Perhentian Kecil Marine Park</t>
  </si>
  <si>
    <t>80 km2</t>
  </si>
  <si>
    <t>Pulau Tenggol Marine Park</t>
  </si>
  <si>
    <t>69 km2</t>
  </si>
  <si>
    <t>Rantau Abang Turtle Sanctuary</t>
  </si>
  <si>
    <t>66 km2</t>
  </si>
  <si>
    <t>Pulau Lang Tengah Marine Park</t>
  </si>
  <si>
    <t>61 km2</t>
  </si>
  <si>
    <t>Pulau Nyireh Marine Park</t>
  </si>
  <si>
    <t>Pulau Susu Dara Marine Park</t>
  </si>
  <si>
    <t>49 km2</t>
  </si>
  <si>
    <t>Pulau Yu Besar Marine Park</t>
  </si>
  <si>
    <t>Pulau Yu Kecil Marine Park</t>
  </si>
  <si>
    <t>Pulau Kapas Marine Park</t>
  </si>
  <si>
    <t>24 km2</t>
  </si>
  <si>
    <t>Tanjung Tukah Turtle Sanctuary</t>
  </si>
  <si>
    <t>Tanjung Guntung Turtle Sanctuary</t>
  </si>
  <si>
    <t>0.01 km2</t>
  </si>
  <si>
    <t>Tiga Ruang Turtle Sanctuary</t>
  </si>
  <si>
    <t>Pasir Chagar Hutang Turtle Sanctuary</t>
  </si>
  <si>
    <t>&lt;0.01 km2</t>
  </si>
  <si>
    <t>&lt;1</t>
  </si>
  <si>
    <t>Pasir Mak Kepit, Pasir Bujang &amp; Pasir Mak Simpan Turtle Sanctuary</t>
  </si>
  <si>
    <t>Pinang Seribu Turtle Sanctuary</t>
  </si>
  <si>
    <t>Bukit Bauk</t>
  </si>
  <si>
    <t>Pulau Kuraman Marine Park</t>
  </si>
  <si>
    <t>21 km2</t>
  </si>
  <si>
    <t>Pulau Rusukan Besar Marine Park</t>
  </si>
  <si>
    <t>Pulau Rusukan Kecil Marine Park</t>
  </si>
  <si>
    <t>Malaysia's Important Marine and Coastal Area (MyIMCA)</t>
  </si>
  <si>
    <t>https://storymaps.arcgis.com/stories/e74a4cd06a674fafbe4158a1b324e24d</t>
  </si>
  <si>
    <t>State / territory</t>
  </si>
  <si>
    <t>https://www.researchgate.net/publication/386100641_MyIMCA_Malaysia's_Important_Marine_and_Coastal_Areas</t>
  </si>
  <si>
    <t>7. Sungai Muar</t>
  </si>
  <si>
    <t>8. Southwest Johor</t>
  </si>
  <si>
    <t>9. Kepulauan Mersing</t>
  </si>
  <si>
    <t>Johor/Pahang</t>
  </si>
  <si>
    <t>1. Langkawi-Payar</t>
  </si>
  <si>
    <t>2. Merbok</t>
  </si>
  <si>
    <t>1. Pulau Perak</t>
  </si>
  <si>
    <t>Kedah/Perak</t>
  </si>
  <si>
    <t>6. Tanjung Tuan-Kuala Linggi</t>
  </si>
  <si>
    <t>Negeri Sembilan/Melaka</t>
  </si>
  <si>
    <t>10. Kuantan-Pekan</t>
  </si>
  <si>
    <t>3. Matang</t>
  </si>
  <si>
    <t>4. Pulau Jarak-Segari</t>
  </si>
  <si>
    <t>16. Layang-Layang</t>
  </si>
  <si>
    <t>18. Pulau Tiga</t>
  </si>
  <si>
    <t>19. Tunku Abdul Rahman</t>
  </si>
  <si>
    <t>20. Mantanani</t>
  </si>
  <si>
    <t>21. Tun Mustapha</t>
  </si>
  <si>
    <t>22. Jambongan-SIMCA-Labuk Bay</t>
  </si>
  <si>
    <t>23. Pulau Tambisan-Lower Kinabatangan</t>
  </si>
  <si>
    <t>24. Teluk Darvel</t>
  </si>
  <si>
    <t>17. Teluk Brunei – Sabah/Labuan</t>
  </si>
  <si>
    <t>Sabah/Labuan</t>
  </si>
  <si>
    <t>12. Tanjung Datu-Maludam</t>
  </si>
  <si>
    <t>13. Rajang</t>
  </si>
  <si>
    <t>14. Similajau</t>
  </si>
  <si>
    <t>15. Beting Patinggi Ali</t>
  </si>
  <si>
    <t>15. Miri-Sibuti</t>
  </si>
  <si>
    <t>17. Teluk Brunei – Sarawak</t>
  </si>
  <si>
    <t>5. Kepulauan Klang</t>
  </si>
  <si>
    <t>5. Jeram</t>
  </si>
  <si>
    <t>11. Setiu Yu</t>
  </si>
  <si>
    <t>11. Tenggol</t>
  </si>
  <si>
    <t>total</t>
  </si>
  <si>
    <t>NEGERI/ STATE</t>
  </si>
  <si>
    <t>KLASIFIKASI STESEN/ STATION CLASSIFICATION</t>
  </si>
  <si>
    <t>KAWASAN/ AREA</t>
  </si>
  <si>
    <t>NOMBOR STESEN/ STATION NUMBER</t>
  </si>
  <si>
    <t>KATEGORI (2025)</t>
  </si>
  <si>
    <t>Pantai/Coastal</t>
  </si>
  <si>
    <t>Pantai Merdeka</t>
  </si>
  <si>
    <t>MMKC001</t>
  </si>
  <si>
    <t>Baik/Good</t>
  </si>
  <si>
    <t>Langkawi Island Resort</t>
  </si>
  <si>
    <t>MMKC002</t>
  </si>
  <si>
    <t>Terbaik/Excellent</t>
  </si>
  <si>
    <t>Pantai Kok</t>
  </si>
  <si>
    <t>MMKC003</t>
  </si>
  <si>
    <t>Pantai Kuah</t>
  </si>
  <si>
    <t>MMKC004</t>
  </si>
  <si>
    <t>Pantai Pasir Tengkorak</t>
  </si>
  <si>
    <t>MMKC005</t>
  </si>
  <si>
    <t>Pantai Teluk Burau</t>
  </si>
  <si>
    <t>MMKC006</t>
  </si>
  <si>
    <t>Pantai Teluk Nibong</t>
  </si>
  <si>
    <t>MMKC007</t>
  </si>
  <si>
    <t>Pantai Tengah</t>
  </si>
  <si>
    <t>MMKC008</t>
  </si>
  <si>
    <t>Pantai Beras Basah</t>
  </si>
  <si>
    <t>MMKC009</t>
  </si>
  <si>
    <t>Gertak Sanggul</t>
  </si>
  <si>
    <t>MMPC001</t>
  </si>
  <si>
    <t>Kawasan Perindustrian Bayan Lepas 1</t>
  </si>
  <si>
    <t>MMPC002</t>
  </si>
  <si>
    <t>Pantai Bersih</t>
  </si>
  <si>
    <t>MMPC003</t>
  </si>
  <si>
    <t>Pantai Miami</t>
  </si>
  <si>
    <t>MMPC004</t>
  </si>
  <si>
    <t>Pantai Pasir Panjang</t>
  </si>
  <si>
    <t>MMPC005</t>
  </si>
  <si>
    <t>Batu Feringgi (Casuarina)</t>
  </si>
  <si>
    <t>MMPC006</t>
  </si>
  <si>
    <t>Luar Pantai Teluk Bahang</t>
  </si>
  <si>
    <t>MMPC007</t>
  </si>
  <si>
    <t>Persiaran Gurney</t>
  </si>
  <si>
    <t>MMPC008</t>
  </si>
  <si>
    <t>Sederhana/Moderate</t>
  </si>
  <si>
    <t>Rumah Pam Baru Perai</t>
  </si>
  <si>
    <t>MMPC009</t>
  </si>
  <si>
    <t>Rumah Pam Lama Perai</t>
  </si>
  <si>
    <t>MMPC010</t>
  </si>
  <si>
    <t>Selat PP Selatan (Jelutong)</t>
  </si>
  <si>
    <t>MMPC011</t>
  </si>
  <si>
    <t>Tanjung Bungah</t>
  </si>
  <si>
    <t>MMPC012</t>
  </si>
  <si>
    <t>Tanjung Bungah 2</t>
  </si>
  <si>
    <t>MMPC013</t>
  </si>
  <si>
    <t>Batu Maung 2</t>
  </si>
  <si>
    <t>MMPC014</t>
  </si>
  <si>
    <t>Pantai Sungai Batu Ferringhi 3</t>
  </si>
  <si>
    <t>MMPC015</t>
  </si>
  <si>
    <t>Pantai Sungai Batu Ferringhi 2</t>
  </si>
  <si>
    <t>MMPC016</t>
  </si>
  <si>
    <t>Pantai Sungai Batu Ferringhi 1</t>
  </si>
  <si>
    <t>MMPC017</t>
  </si>
  <si>
    <t>Pantai Pasir Bogak</t>
  </si>
  <si>
    <t>MMAC001</t>
  </si>
  <si>
    <t>Pantai Teluk Dalam</t>
  </si>
  <si>
    <t>MMAC002</t>
  </si>
  <si>
    <t>Pantai Teluk Batik</t>
  </si>
  <si>
    <t>MMAC003</t>
  </si>
  <si>
    <t>Pantai Tanjung Batu</t>
  </si>
  <si>
    <t>MMAC004</t>
  </si>
  <si>
    <t>Pantai Teluk Rubiah</t>
  </si>
  <si>
    <t>MMAC005</t>
  </si>
  <si>
    <t>Pantai Damai Laut</t>
  </si>
  <si>
    <t>MMAC006</t>
  </si>
  <si>
    <t>Pantai Teluk Senangin</t>
  </si>
  <si>
    <t>MMAC007</t>
  </si>
  <si>
    <t>MMAC008</t>
  </si>
  <si>
    <t>Pantai Bagan Lalang</t>
  </si>
  <si>
    <t>MMBC001</t>
  </si>
  <si>
    <t>Pantai Morib</t>
  </si>
  <si>
    <t>MMBC002</t>
  </si>
  <si>
    <t>Selat Pulau Babi</t>
  </si>
  <si>
    <t>MMBC003</t>
  </si>
  <si>
    <t>Selat Klang Utara</t>
  </si>
  <si>
    <t>MMBC004</t>
  </si>
  <si>
    <t>Pantai Remis</t>
  </si>
  <si>
    <t>MMBC005</t>
  </si>
  <si>
    <t>Pantai Klanang</t>
  </si>
  <si>
    <t>MMBC006</t>
  </si>
  <si>
    <t>Bagan Pinang</t>
  </si>
  <si>
    <t>MMNC001</t>
  </si>
  <si>
    <t>Telok Sinting</t>
  </si>
  <si>
    <t>MMNC002</t>
  </si>
  <si>
    <t>Port Dickson Bandar</t>
  </si>
  <si>
    <t>MMNC003</t>
  </si>
  <si>
    <t>Port Dickson Batu 4</t>
  </si>
  <si>
    <t>MMNC004</t>
  </si>
  <si>
    <t>Port Dickson Batu 5</t>
  </si>
  <si>
    <t>MMNC005</t>
  </si>
  <si>
    <t>Port Dickson Batu 6</t>
  </si>
  <si>
    <t>MMNC006</t>
  </si>
  <si>
    <t>Port Dickson Batu 7</t>
  </si>
  <si>
    <t>MMNC007</t>
  </si>
  <si>
    <t>Port Dickson Batu 8</t>
  </si>
  <si>
    <t>MMNC008</t>
  </si>
  <si>
    <t>Port Dickson Batu 10</t>
  </si>
  <si>
    <t>MMNC009</t>
  </si>
  <si>
    <t>Port Dickson Janakuasa TNB</t>
  </si>
  <si>
    <t>MMNC010</t>
  </si>
  <si>
    <t>Telok Pelanduk</t>
  </si>
  <si>
    <t>MMNC011</t>
  </si>
  <si>
    <t>Pantai Cermin</t>
  </si>
  <si>
    <t>MMNC012</t>
  </si>
  <si>
    <t>Pantai Teluk Kemang</t>
  </si>
  <si>
    <t>MMNC013</t>
  </si>
  <si>
    <t>Pantai Seri Purnama</t>
  </si>
  <si>
    <t>MMNC014</t>
  </si>
  <si>
    <t>Pantai Rombang</t>
  </si>
  <si>
    <t>MMMC001</t>
  </si>
  <si>
    <t>Pantai Kundur</t>
  </si>
  <si>
    <t>MMMC002</t>
  </si>
  <si>
    <t>Pantai Tanjung Bidara</t>
  </si>
  <si>
    <t>MMMC003</t>
  </si>
  <si>
    <t>Teluk Gong</t>
  </si>
  <si>
    <t>MMMC004</t>
  </si>
  <si>
    <t>Pulau Melaka Point A1</t>
  </si>
  <si>
    <t>MMMC005</t>
  </si>
  <si>
    <t>Pulau Melaka Point A2</t>
  </si>
  <si>
    <t>MMMC006</t>
  </si>
  <si>
    <t>Pulau Melaka Point B1</t>
  </si>
  <si>
    <t>MMMC007</t>
  </si>
  <si>
    <t>Pulau Melaka Point B2</t>
  </si>
  <si>
    <t>MMMC008</t>
  </si>
  <si>
    <t>Pantai Klebang</t>
  </si>
  <si>
    <t>MMMC009</t>
  </si>
  <si>
    <t>Tanjung Bin</t>
  </si>
  <si>
    <t>MMJC001</t>
  </si>
  <si>
    <t>Pelabuhan Tanjung Pelepas</t>
  </si>
  <si>
    <t>MMJC002</t>
  </si>
  <si>
    <t>Hadapan Jabatan Laut</t>
  </si>
  <si>
    <t>MMJC003</t>
  </si>
  <si>
    <t>Pantai Stulang Laut</t>
  </si>
  <si>
    <t>MMJC004</t>
  </si>
  <si>
    <t>Jeti Teluk Jawa</t>
  </si>
  <si>
    <t>MMJC005</t>
  </si>
  <si>
    <t>Pelabuhan Pasir Gudang</t>
  </si>
  <si>
    <t>MMJC006</t>
  </si>
  <si>
    <t>Hadapan HSAJB</t>
  </si>
  <si>
    <t>MMJC007</t>
  </si>
  <si>
    <t>Pantai Lido</t>
  </si>
  <si>
    <t>MMJC008</t>
  </si>
  <si>
    <t>Pantai Teluk Mahkota</t>
  </si>
  <si>
    <t>MMJC009</t>
  </si>
  <si>
    <t>Pantai Tanjung Leman</t>
  </si>
  <si>
    <t>MMJC010</t>
  </si>
  <si>
    <t>Pantai Sri Pantai</t>
  </si>
  <si>
    <t>MMJC011</t>
  </si>
  <si>
    <t>Tanjung Merak</t>
  </si>
  <si>
    <t>MMJC012</t>
  </si>
  <si>
    <t>Tanjung Pengelih</t>
  </si>
  <si>
    <t>MMJC013</t>
  </si>
  <si>
    <t>Pantai Tanjong Stapa</t>
  </si>
  <si>
    <t>MMJC014</t>
  </si>
  <si>
    <t>Pantai Teluk Gorek</t>
  </si>
  <si>
    <t>MMJC015</t>
  </si>
  <si>
    <t>Pantai Air Papan</t>
  </si>
  <si>
    <t>MMJC016</t>
  </si>
  <si>
    <t>Jeti Kukup</t>
  </si>
  <si>
    <t>MMJC017</t>
  </si>
  <si>
    <t>Pasir Gogok</t>
  </si>
  <si>
    <t>MMJC018</t>
  </si>
  <si>
    <t>Tanjung Buai</t>
  </si>
  <si>
    <t>MMJC019</t>
  </si>
  <si>
    <t>Pantai Desaru</t>
  </si>
  <si>
    <t>MMJC020</t>
  </si>
  <si>
    <t>Tanjung Sepang</t>
  </si>
  <si>
    <t>MMJC021</t>
  </si>
  <si>
    <t>Tanjung Penyusup</t>
  </si>
  <si>
    <t>MMJC022</t>
  </si>
  <si>
    <t>Pantai Sungai Lurus</t>
  </si>
  <si>
    <t>MMJC023</t>
  </si>
  <si>
    <t>Punggur</t>
  </si>
  <si>
    <t>MMJC024</t>
  </si>
  <si>
    <t>Pantai Penyabung</t>
  </si>
  <si>
    <t>MMJC025</t>
  </si>
  <si>
    <t>Tanjung Resang</t>
  </si>
  <si>
    <t>MMJC026</t>
  </si>
  <si>
    <t>Tanjung Balau</t>
  </si>
  <si>
    <t>MMJC027</t>
  </si>
  <si>
    <t>Batu Layar</t>
  </si>
  <si>
    <t>MMJC028</t>
  </si>
  <si>
    <t>Tanjung Sengat</t>
  </si>
  <si>
    <t>MMJC029</t>
  </si>
  <si>
    <t>Pantai Cherating (Club Med A)</t>
  </si>
  <si>
    <t>MMCC001</t>
  </si>
  <si>
    <t>Pantai Cherating (Club Med B)</t>
  </si>
  <si>
    <t>MMCC002</t>
  </si>
  <si>
    <t>Pantai Cherating (Legend A)</t>
  </si>
  <si>
    <t>MMCC003</t>
  </si>
  <si>
    <t>Pantai Cherating (Legend B)</t>
  </si>
  <si>
    <t>MMCC004</t>
  </si>
  <si>
    <t>Pantai Muhibbah Balok A</t>
  </si>
  <si>
    <t>MMCC005</t>
  </si>
  <si>
    <t>Pantai Muhibbah Balok B</t>
  </si>
  <si>
    <t>MMCC006</t>
  </si>
  <si>
    <t>Pantai Batu Hitam A</t>
  </si>
  <si>
    <t>MMCC007</t>
  </si>
  <si>
    <t>Pantai Batu Hitam B</t>
  </si>
  <si>
    <t>MMCC008</t>
  </si>
  <si>
    <t>Pantai Berserah A</t>
  </si>
  <si>
    <t>MMCC009</t>
  </si>
  <si>
    <t>Pantai Berserah B</t>
  </si>
  <si>
    <t>MMCC010</t>
  </si>
  <si>
    <t>Pantai Teluk Cempedak A</t>
  </si>
  <si>
    <t>MMCC011</t>
  </si>
  <si>
    <t>Pantai Teluk Cempedak B</t>
  </si>
  <si>
    <t>MMCC012</t>
  </si>
  <si>
    <t>Pantai Teluk Gelora A</t>
  </si>
  <si>
    <t>MMCC013</t>
  </si>
  <si>
    <t>Pantai Teluk Gelora B</t>
  </si>
  <si>
    <t>MMCC014</t>
  </si>
  <si>
    <t>Pantai Sepat A</t>
  </si>
  <si>
    <t>MMCC015</t>
  </si>
  <si>
    <t>Pantai Sepat B</t>
  </si>
  <si>
    <t>MMCC016</t>
  </si>
  <si>
    <t>Pantai Legenda A</t>
  </si>
  <si>
    <t>MMCC017</t>
  </si>
  <si>
    <t>Pantai Legenda B</t>
  </si>
  <si>
    <t>MMCC018</t>
  </si>
  <si>
    <t>Pantai Kuala Api-Api</t>
  </si>
  <si>
    <t>MMCC019</t>
  </si>
  <si>
    <t>MMCC020</t>
  </si>
  <si>
    <t>Pantai Chendor</t>
  </si>
  <si>
    <t>MMCC021</t>
  </si>
  <si>
    <t>Pantai Lanjut</t>
  </si>
  <si>
    <t>MMCC022</t>
  </si>
  <si>
    <t>Pantai Batu Buruk</t>
  </si>
  <si>
    <t>MMTC001</t>
  </si>
  <si>
    <t>Pantai Bukit Keluang</t>
  </si>
  <si>
    <t>MMTC002</t>
  </si>
  <si>
    <t>Pantai Chendering</t>
  </si>
  <si>
    <t>MMTC003</t>
  </si>
  <si>
    <t>Pantai Rantau Abang</t>
  </si>
  <si>
    <t>MMTC004</t>
  </si>
  <si>
    <t>KIPC Utara</t>
  </si>
  <si>
    <t>MMTC005</t>
  </si>
  <si>
    <t>KIPC Tengah</t>
  </si>
  <si>
    <t>MMTC006</t>
  </si>
  <si>
    <t>KIPC Selatan</t>
  </si>
  <si>
    <t>MMTC007</t>
  </si>
  <si>
    <t>Pantai Rhu 10</t>
  </si>
  <si>
    <t>MMTC008</t>
  </si>
  <si>
    <t>Pantai Tok Jembal</t>
  </si>
  <si>
    <t>MMTC009</t>
  </si>
  <si>
    <t>Pantai Kelulut</t>
  </si>
  <si>
    <t>MMTC010</t>
  </si>
  <si>
    <t>Pantai Teluk Ketapang</t>
  </si>
  <si>
    <t>MMTC011</t>
  </si>
  <si>
    <t>Pantai Kuala Abang</t>
  </si>
  <si>
    <t>MMTC012</t>
  </si>
  <si>
    <t>Pantai Teluk Kalong</t>
  </si>
  <si>
    <t>MMTC013</t>
  </si>
  <si>
    <t>Pantai Sura</t>
  </si>
  <si>
    <t>MMTC014</t>
  </si>
  <si>
    <t>MMTC015</t>
  </si>
  <si>
    <t>Pantai Kemasik</t>
  </si>
  <si>
    <t>MMTC016</t>
  </si>
  <si>
    <t>Pantai Seri Tujuh</t>
  </si>
  <si>
    <t>MMDC001</t>
  </si>
  <si>
    <t>Pantai Cahaya Bulan</t>
  </si>
  <si>
    <t>MMDC002</t>
  </si>
  <si>
    <t>Pantai Sabak</t>
  </si>
  <si>
    <t>MMDC003</t>
  </si>
  <si>
    <t>Pantai Irama Bachok</t>
  </si>
  <si>
    <t>MMDC004</t>
  </si>
  <si>
    <t>Pantai Bisikan Bayu</t>
  </si>
  <si>
    <t>MMDC005</t>
  </si>
  <si>
    <t>Pantai Melawi</t>
  </si>
  <si>
    <t>MMDC006</t>
  </si>
  <si>
    <t>Pantai Sematan</t>
  </si>
  <si>
    <t>MMQC001</t>
  </si>
  <si>
    <t>Pantai Pandan</t>
  </si>
  <si>
    <t>MMQC002</t>
  </si>
  <si>
    <t>Pantai Pasir Putih</t>
  </si>
  <si>
    <t>MMQC003</t>
  </si>
  <si>
    <t>Pantai Bako</t>
  </si>
  <si>
    <t>MMQC004</t>
  </si>
  <si>
    <t>Pantai Damai</t>
  </si>
  <si>
    <t>MMQC005</t>
  </si>
  <si>
    <t>Pantai Tanjung Kembang</t>
  </si>
  <si>
    <t>MMQC006</t>
  </si>
  <si>
    <t>Pantai Harmoni Mukah</t>
  </si>
  <si>
    <t>MMQC007</t>
  </si>
  <si>
    <t>MMQC008</t>
  </si>
  <si>
    <t>Pantai Likau</t>
  </si>
  <si>
    <t>MMQC009</t>
  </si>
  <si>
    <t>Pantai Emas</t>
  </si>
  <si>
    <t>MMQC010</t>
  </si>
  <si>
    <t>Pantai Piasau</t>
  </si>
  <si>
    <t>MMQC011</t>
  </si>
  <si>
    <t>Pantai Brighton</t>
  </si>
  <si>
    <t>MMQC012</t>
  </si>
  <si>
    <t>Pantai Esplaned</t>
  </si>
  <si>
    <t>MMQC013</t>
  </si>
  <si>
    <t>Pantai Beraya</t>
  </si>
  <si>
    <t>MMQC014</t>
  </si>
  <si>
    <t>Pantai Bungai</t>
  </si>
  <si>
    <t>MMQC015</t>
  </si>
  <si>
    <t>Pantai Belawai</t>
  </si>
  <si>
    <t>MMQC016</t>
  </si>
  <si>
    <t>Pantai Mukah</t>
  </si>
  <si>
    <t>MMQC017</t>
  </si>
  <si>
    <t>Tanjung Kidurong</t>
  </si>
  <si>
    <t>MMQC018</t>
  </si>
  <si>
    <t>Pasir Pandak</t>
  </si>
  <si>
    <t>MMQC019</t>
  </si>
  <si>
    <t>Rambungan</t>
  </si>
  <si>
    <t>MMQC020</t>
  </si>
  <si>
    <t>Sri Tanjung Lawas</t>
  </si>
  <si>
    <t>MMQC021</t>
  </si>
  <si>
    <t>Pantai Luak</t>
  </si>
  <si>
    <t>MMQC022</t>
  </si>
  <si>
    <t>Pasir Panjang</t>
  </si>
  <si>
    <t>MMQC023</t>
  </si>
  <si>
    <t>Pantai Teluk Brunei 1</t>
  </si>
  <si>
    <t>MMSC001</t>
  </si>
  <si>
    <t>Pantai Teluk Brunei 2</t>
  </si>
  <si>
    <t>MMSC002</t>
  </si>
  <si>
    <t>Pantai Teluk Brunei 3</t>
  </si>
  <si>
    <t>MMSC003</t>
  </si>
  <si>
    <t>Pantai Teluk Brunei 4</t>
  </si>
  <si>
    <t>MMSC004</t>
  </si>
  <si>
    <t>Pantai Teluk Brunei 5</t>
  </si>
  <si>
    <t>MMSC005</t>
  </si>
  <si>
    <t>Pantai Teluk Brunei 6</t>
  </si>
  <si>
    <t>MMSC006</t>
  </si>
  <si>
    <t>Borneo Golf Seawater</t>
  </si>
  <si>
    <t>MMSC007</t>
  </si>
  <si>
    <t>Pantai Manis Papar</t>
  </si>
  <si>
    <t>MMSC008</t>
  </si>
  <si>
    <t>Pantai Melinsung</t>
  </si>
  <si>
    <t>MMSC009</t>
  </si>
  <si>
    <t>Pantai Tanjung Aru (Roll Skating)</t>
  </si>
  <si>
    <t>MMSC010</t>
  </si>
  <si>
    <t>Pantai Tanjung Aru (No. 3)</t>
  </si>
  <si>
    <t>MMSC011</t>
  </si>
  <si>
    <t>Pantai Lok Kawi</t>
  </si>
  <si>
    <t>MMSC012</t>
  </si>
  <si>
    <t>Pantai Dalit Tuaran</t>
  </si>
  <si>
    <t>MMSC013</t>
  </si>
  <si>
    <t>Mangrove Paradise</t>
  </si>
  <si>
    <t>MMSC014</t>
  </si>
  <si>
    <t>Pantai Sabandar</t>
  </si>
  <si>
    <t>MMSC015</t>
  </si>
  <si>
    <t>Pantai Bak-Bak Kudat</t>
  </si>
  <si>
    <t>MMSC016</t>
  </si>
  <si>
    <t>Pasir Putih Sandakan</t>
  </si>
  <si>
    <t>MMSC017</t>
  </si>
  <si>
    <t>Pantai TLDM</t>
  </si>
  <si>
    <t>MMSC018</t>
  </si>
  <si>
    <t>Pantai Batu Sapi</t>
  </si>
  <si>
    <t>MMSC019</t>
  </si>
  <si>
    <t>Pantai Ulu Tungku</t>
  </si>
  <si>
    <t>MMSC020</t>
  </si>
  <si>
    <t>Pantai Sarina Kunak</t>
  </si>
  <si>
    <t>MMSC021</t>
  </si>
  <si>
    <t>Pantai Kg. Lamak</t>
  </si>
  <si>
    <t>MMSC022</t>
  </si>
  <si>
    <t>Pantai Tinagat</t>
  </si>
  <si>
    <t>MMSC023</t>
  </si>
  <si>
    <t>Pantai Tanjung Aru (Rest Lido)</t>
  </si>
  <si>
    <t>MMSC024</t>
  </si>
  <si>
    <t>Pulau Papan</t>
  </si>
  <si>
    <t>MMLC001</t>
  </si>
  <si>
    <t>Kiamsam</t>
  </si>
  <si>
    <t>MMLC002</t>
  </si>
  <si>
    <t>Sungai Pagar</t>
  </si>
  <si>
    <t>MMLC003</t>
  </si>
  <si>
    <t>LayangLayangan</t>
  </si>
  <si>
    <t>MMLC004</t>
  </si>
  <si>
    <t>Tanjung Aru</t>
  </si>
  <si>
    <t>MMLC005</t>
  </si>
  <si>
    <t>Ecoregion</t>
  </si>
  <si>
    <t>Islands/Areas</t>
  </si>
  <si>
    <t>No. of sites</t>
  </si>
  <si>
    <t>Protection Status</t>
  </si>
  <si>
    <t>Sunda Shelf</t>
  </si>
  <si>
    <t>Tioman</t>
  </si>
  <si>
    <t>Marine Park</t>
  </si>
  <si>
    <t>Bidong &amp; Yu</t>
  </si>
  <si>
    <t>Marine Park (Yu only)</t>
  </si>
  <si>
    <t>Kapas</t>
  </si>
  <si>
    <t>Lang Tengah</t>
  </si>
  <si>
    <t>Perhentian</t>
  </si>
  <si>
    <t>Redang</t>
  </si>
  <si>
    <t>Rhu 10</t>
  </si>
  <si>
    <t>No protection</t>
  </si>
  <si>
    <t>Tenggol</t>
  </si>
  <si>
    <t>Aur &amp; Dayang</t>
  </si>
  <si>
    <t>Besar</t>
  </si>
  <si>
    <t>Gual</t>
  </si>
  <si>
    <t>Harimau</t>
  </si>
  <si>
    <t>Hujung</t>
  </si>
  <si>
    <t>Lima</t>
  </si>
  <si>
    <t>Mensirip</t>
  </si>
  <si>
    <t>Mertang</t>
  </si>
  <si>
    <t>Pemanggil</t>
  </si>
  <si>
    <t>Rawa</t>
  </si>
  <si>
    <t>Sibu</t>
  </si>
  <si>
    <t>Tengah</t>
  </si>
  <si>
    <t>Tinggi</t>
  </si>
  <si>
    <t>Miri</t>
  </si>
  <si>
    <t>MSCRNP</t>
  </si>
  <si>
    <t>Malacca Strait</t>
  </si>
  <si>
    <t>Payar</t>
  </si>
  <si>
    <t>Pulau Singa</t>
  </si>
  <si>
    <t>Sea Cucumber PA</t>
  </si>
  <si>
    <t>Pangkor Laut</t>
  </si>
  <si>
    <t>Sembilan</t>
  </si>
  <si>
    <t>Port Dickson</t>
  </si>
  <si>
    <t>North Borneo</t>
  </si>
  <si>
    <t>Kapalai</t>
  </si>
  <si>
    <t>Lahad Datu</t>
  </si>
  <si>
    <t>Lankayan</t>
  </si>
  <si>
    <t>SIMCA</t>
  </si>
  <si>
    <t>Larapan</t>
  </si>
  <si>
    <t>Mabul</t>
  </si>
  <si>
    <t>Mantanani</t>
  </si>
  <si>
    <t>Mataking</t>
  </si>
  <si>
    <t>Pulau Penyu</t>
  </si>
  <si>
    <t>Sabah Parks</t>
  </si>
  <si>
    <t>Pulau Tiga</t>
  </si>
  <si>
    <t>Sipadan</t>
  </si>
  <si>
    <t>TARP</t>
  </si>
  <si>
    <t>TMP</t>
  </si>
  <si>
    <t>TSMP</t>
  </si>
  <si>
    <t>Usukan Cove</t>
  </si>
  <si>
    <t>Methodology assumptions &amp; limitations — for thesis write-up</t>
  </si>
  <si>
    <t>Auto-generated checklist from a review of the CTRS/TSRI model (formulas + methodology). Nothing on the other sheets was changed. Copy/adapt this into the paper's Methodology / Limitations section.</t>
  </si>
  <si>
    <t>#</t>
  </si>
  <si>
    <t>Assumption / control-panel setting</t>
  </si>
  <si>
    <t>Why it matters</t>
  </si>
  <si>
    <t>Current default in this workbook</t>
  </si>
  <si>
    <t>Suggested reporting in the paper</t>
  </si>
  <si>
    <t>LCC missing → treatment (CTRS_Control!C19, LCC_MISSING)</t>
  </si>
  <si>
    <t>Missing LCC survey data is not the same as 0% live coral cover. Under the ZERO setting a state with no survey is scored as maximum coral stress, which can push it up in the ranking for the wrong reason (affects Kelantan, Pulau Pinang, Selangor, W.P. Labuan with current data).</t>
  </si>
  <si>
    <t>ZERO (LCC=0% -&gt; max stress). Column AH in CTRS_Calc already flags which states this applies to; CTRS_Summary column I already prints a "no LCC data" note next to affected states.</t>
  </si>
  <si>
    <t>State explicitly that LCC-missing states were scored as maximum coral stress (a conservative/precautionary choice), name the affected states, and report the ranking under at least one alternative (NO_STRESS or EXCLUDE) as a robustness check — see the R Markdown sensitivity section.</t>
  </si>
  <si>
    <t>MPA area overlap (Z numerator, MPA sheet)</t>
  </si>
  <si>
    <t>Where protected-area polygons overlap (e.g. within Miri-Sibuti Coral Reefs NP), summing listed areas can double-count marine area and inflate the protection score Z for that state.</t>
  </si>
  <si>
    <t>Areas are summed as listed in the MPA sheet; the sheet itself already carries a note that overlap can cause double counting.</t>
  </si>
  <si>
    <t>Report Z as based on listed (not GIS-deduplicated) MPA areas; flag this as a limitation and note that a polygon union (GIS) would be needed for a stricter estimate.</t>
  </si>
  <si>
    <t>MyIMCA missing area treated as 0 (Z denominator)</t>
  </si>
  <si>
    <t>If a state marine-area figure is missing from MyIMCA and is set to 0, the Z denominator (total marine area) is understated, which can overstate the protection ratio Z for that state.</t>
  </si>
  <si>
    <t>Missing MyIMCA area -&gt; 0 in the denominator; the sheet already notes some denominators run slightly low.</t>
  </si>
  <si>
    <t>State this explicitly for any state affected and treat Z as a lower-bound-of-denominator estimate; consider EXCLUDE or MANUAL area entry as a sensitivity check.</t>
  </si>
  <si>
    <t>Shared MyIMCA area split 50/50 across states (e.g. Johor/Pahang)</t>
  </si>
  <si>
    <t>A straight 50/50 split is a simplifying assumption, not an actual geographic allocation, so the true state-level split could differ substantially.</t>
  </si>
  <si>
    <t>50/50 split for any MyIMCA row shared between two states.</t>
  </si>
  <si>
    <t>Describe as a simplifying assumption made in the absence of GIS boundary data; note it only affects states with shared MyIMCA entries.</t>
  </si>
  <si>
    <t>X (tourism exposure) = beach-hotel share x domestic tourists</t>
  </si>
  <si>
    <t>Beach-hotel share of all hotels in a state is used as a proxy for the share of tourists exposed to the coast. The two are not guaranteed to be equal (e.g. 40% beach hotels does not necessarily mean 40% of tourists stay at the beach).</t>
  </si>
  <si>
    <t>X_METHOD = AUTO -&gt; TOURISTS when tourist data is complete for every included state (current data).</t>
  </si>
  <si>
    <t>Label X explicitly as a "proxy measure of coastal tourism exposure", not a direct count of beach tourists.</t>
  </si>
  <si>
    <t>Equal weights: w_X = w_Y = w_Z = 1/3, and w_MMWQI = w_LCC = 0.5</t>
  </si>
  <si>
    <t>There is no empirical or theoretical basis given yet for weighting exposure, stress and protection equally (or MMWQI/LCC equally within Y) — a reviewer/supervisor is likely to ask "why equal weights?"</t>
  </si>
  <si>
    <t>CTRS_Control!C12:C14 = 1/3 each; C15:C16 = 0.5 each.</t>
  </si>
  <si>
    <t>Keep equal weights as the reported baseline but include a weighting sensitivity analysis (see R Markdown) showing whether state rankings are stable under alternative weight scenarios.</t>
  </si>
  <si>
    <t>Perlis excluded from the index</t>
  </si>
  <si>
    <t>Perlis has no MMWQI monitoring station, so it cannot be scored and is dropped -- 13 of 14 states/FTs appear in the final ranking, not 14.</t>
  </si>
  <si>
    <t>CTRS_Calc "Included in index" (col Y) = 0 for Perlis; CTRS_Summary already reports "States excluded (missing data): 1".</t>
  </si>
  <si>
    <t>State explicitly in the paper that Perlis was excluded for lack of MMWQI data, so readers do not expect 14 states in the results table.</t>
  </si>
  <si>
    <t>"TSRI (0-1)" is a rescaled version of TSRI, not an independent index</t>
  </si>
  <si>
    <t>TSRI (0-1) = (TSRI + w_Z) / (w_X + w_Y + w_Z) is a linear rescaling of TSRI into a fixed 0-1 range for presentation; it is not recomputed from different inputs or weights.</t>
  </si>
  <si>
    <t>CTRS_Calc column AD.</t>
  </si>
  <si>
    <t>Refer to it as a "rescaled TSRI (0-1)" for presentation/mapping, not a second, independently derived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</si>
</sst>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0.0"/>
    <numFmt numFmtId="168" formatCode="#,##0.000"/>
    <numFmt numFmtId="169" formatCode="0.0"/>
  </numFmts>
  <fonts count="10" x14ac:knownFonts="1">
    <font>
      <sz val="11"/>
      <color theme="1"/>
      <name val="Calibri"/>
      <family val="2"/>
      <scheme val="minor"/>
    </font>
    <font>
      <b/>
      <sz val="10"/>
      <name val="Arial"/>
    </font>
    <font>
      <sz val="10"/>
      <name val="Arial"/>
    </font>
    <font>
      <b/>
      <sz val="14"/>
      <name val="Arial"/>
    </font>
    <font>
      <i/>
      <sz val="10"/>
      <name val="Arial"/>
    </font>
    <font>
      <b/>
      <sz val="10"/>
      <color rgb="FFFFFFFF"/>
      <name val="Arial"/>
    </font>
    <font>
      <sz val="10"/>
      <color rgb="FF0000FF"/>
      <name val="Arial"/>
    </font>
    <font>
      <b/>
      <sz val="10"/>
      <color rgb="FFC00000"/>
      <name val="Arial"/>
    </font>
    <font>
      <b/>
      <sz val="13"/>
      <name val="Calibri"/>
    </font>
    <font>
      <b/>
      <sz val="11"/>
      <name val="Calibri"/>
    </font>
  </fonts>
  <fills count="5">
    <fill>
      <patternFill patternType="none"/>
    </fill>
    <fill>
      <patternFill patternType="gray125"/>
    </fill>
    <fill>
      <patternFill patternType="solid">
        <fgColor rgb="FF1F3864"/>
      </patternFill>
    </fill>
    <fill>
      <patternFill patternType="solid">
        <fgColor rgb="FFFFFF00"/>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3" fillId="0" borderId="0" xfId="0" applyFont="1"/>
    <xf numFmtId="0" fontId="7" fillId="0" borderId="0" xfId="0" applyFont="1"/>
    <xf numFmtId="0" fontId="4" fillId="0" borderId="0" xfId="0" applyFont="1"/>
    <xf numFmtId="0" fontId="5" fillId="2" borderId="1" xfId="0" applyFont="1" applyFill="1" applyBorder="1" applyAlignment="1">
      <alignment horizontal="center" vertical="center" wrapText="1"/>
    </xf>
    <xf numFmtId="1" fontId="1" fillId="0" borderId="0" xfId="0" applyNumberFormat="1" applyFont="1"/>
    <xf numFmtId="0" fontId="2" fillId="0" borderId="0" xfId="0" applyFont="1"/>
    <xf numFmtId="164" fontId="2" fillId="0" borderId="0" xfId="0" applyNumberFormat="1" applyFont="1"/>
    <xf numFmtId="165" fontId="2" fillId="0" borderId="0" xfId="0" applyNumberFormat="1" applyFont="1"/>
    <xf numFmtId="0" fontId="6" fillId="3" borderId="0" xfId="0" applyFont="1" applyFill="1"/>
    <xf numFmtId="0" fontId="2" fillId="0" borderId="0" xfId="0" applyFont="1" applyAlignment="1">
      <alignment vertical="top" wrapText="1"/>
    </xf>
    <xf numFmtId="0" fontId="1" fillId="0" borderId="0" xfId="0" applyFont="1"/>
    <xf numFmtId="166" fontId="6" fillId="3" borderId="0" xfId="0" applyNumberFormat="1" applyFont="1" applyFill="1"/>
    <xf numFmtId="0" fontId="6" fillId="0" borderId="0" xfId="0" applyFont="1"/>
    <xf numFmtId="2" fontId="6" fillId="3" borderId="0" xfId="0" applyNumberFormat="1" applyFont="1" applyFill="1"/>
    <xf numFmtId="165" fontId="1" fillId="0" borderId="0" xfId="0" applyNumberFormat="1" applyFont="1"/>
    <xf numFmtId="165" fontId="6" fillId="3" borderId="0" xfId="0" applyNumberFormat="1" applyFont="1" applyFill="1"/>
    <xf numFmtId="167" fontId="2" fillId="0" borderId="0" xfId="0" applyNumberFormat="1" applyFont="1"/>
    <xf numFmtId="167" fontId="6" fillId="3" borderId="1" xfId="0" applyNumberFormat="1" applyFont="1" applyFill="1" applyBorder="1"/>
    <xf numFmtId="167" fontId="1" fillId="0" borderId="0" xfId="0" applyNumberFormat="1" applyFont="1"/>
    <xf numFmtId="3" fontId="2" fillId="0" borderId="0" xfId="0" applyNumberFormat="1" applyFont="1"/>
    <xf numFmtId="168" fontId="2" fillId="0" borderId="0" xfId="0" applyNumberFormat="1" applyFont="1"/>
    <xf numFmtId="1" fontId="2" fillId="0" borderId="0" xfId="0" applyNumberFormat="1" applyFont="1"/>
    <xf numFmtId="169" fontId="2" fillId="0" borderId="0" xfId="0" applyNumberFormat="1" applyFont="1"/>
    <xf numFmtId="2" fontId="2" fillId="0" borderId="0" xfId="0" applyNumberFormat="1" applyFont="1"/>
    <xf numFmtId="3" fontId="1" fillId="0" borderId="0" xfId="0" applyNumberFormat="1" applyFont="1"/>
    <xf numFmtId="3" fontId="6" fillId="3" borderId="1" xfId="0" applyNumberFormat="1" applyFont="1" applyFill="1" applyBorder="1"/>
    <xf numFmtId="166" fontId="2" fillId="0" borderId="0" xfId="0" applyNumberFormat="1" applyFont="1"/>
    <xf numFmtId="0" fontId="8" fillId="0" borderId="0" xfId="0" applyFont="1"/>
    <xf numFmtId="0" fontId="0" fillId="0" borderId="0" xfId="0" applyAlignment="1">
      <alignment vertical="top" wrapText="1"/>
    </xf>
    <xf numFmtId="0" fontId="9" fillId="4" borderId="0" xfId="0" applyFon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I21"/>
  <sheetViews>
    <sheetView workbookViewId="0"/>
  </sheetViews>
  <sheetFormatPr defaultRowHeight="14.5" x14ac:dyDescent="0.35"/>
  <cols>
    <col min="1" max="1" width="8" customWidth="1"/>
    <col min="2" max="2" width="20" customWidth="1"/>
    <col min="3" max="8" width="13" customWidth="1"/>
    <col min="9" max="9" width="34" customWidth="1"/>
  </cols>
  <sheetData>
    <row r="1" spans="1:9" ht="18" x14ac:dyDescent="0.4">
      <c r="A1" s="1" t="s">
        <v>0</v>
      </c>
    </row>
    <row r="2" spans="1:9" x14ac:dyDescent="0.35">
      <c r="A2" s="2" t="str">
        <f>CTRS_Calc!A2</f>
        <v>X method in use: TOURISTS</v>
      </c>
    </row>
    <row r="3" spans="1:9" x14ac:dyDescent="0.35">
      <c r="A3" s="3" t="s">
        <v>1</v>
      </c>
    </row>
    <row r="5" spans="1:9" x14ac:dyDescent="0.35">
      <c r="A5" s="4" t="s">
        <v>2</v>
      </c>
      <c r="B5" s="4" t="s">
        <v>3</v>
      </c>
      <c r="C5" s="4" t="s">
        <v>4</v>
      </c>
      <c r="D5" s="4" t="s">
        <v>5</v>
      </c>
      <c r="E5" s="4" t="s">
        <v>6</v>
      </c>
      <c r="F5" s="4" t="s">
        <v>7</v>
      </c>
      <c r="G5" s="4" t="s">
        <v>8</v>
      </c>
      <c r="H5" s="4" t="s">
        <v>9</v>
      </c>
      <c r="I5" s="4" t="s">
        <v>10</v>
      </c>
    </row>
    <row r="6" spans="1:9" x14ac:dyDescent="0.35">
      <c r="A6" s="5">
        <f>IF(1&lt;=SUM(CTRS_Calc!$Y$5:$Y$18),1,"")</f>
        <v>1</v>
      </c>
      <c r="B6" s="6" t="str">
        <f>IF($A6="","",INDEX(CTRS_Calc!$A$5:$A$18,MATCH($A6,CTRS_Calc!$AE$5:$AE$18,0)))</f>
        <v>Pahang</v>
      </c>
      <c r="C6" s="7">
        <f>IF($A6="","",INDEX(CTRS_Calc!$J$5:$J$18,MATCH($A6,CTRS_Calc!$AE$5:$AE$18,0)))</f>
        <v>0.28196721311475409</v>
      </c>
      <c r="D6" s="8">
        <f>IF($A6="","",INDEX(CTRS_Calc!$Z$5:$Z$18,MATCH($A6,CTRS_Calc!$AE$5:$AE$18,0)))</f>
        <v>1</v>
      </c>
      <c r="E6" s="8">
        <f>IF($A6="","",INDEX(CTRS_Calc!$AA$5:$AA$18,MATCH($A6,CTRS_Calc!$AE$5:$AE$18,0)))</f>
        <v>0.26648181818181821</v>
      </c>
      <c r="F6" s="8">
        <f>IF($A6="","",INDEX(CTRS_Calc!$AB$5:$AB$18,MATCH($A6,CTRS_Calc!$AE$5:$AE$18,0)))</f>
        <v>4.7504366497127748E-2</v>
      </c>
      <c r="G6" s="8">
        <f>IF($A6="","",INDEX(CTRS_Calc!$AC$5:$AC$18,MATCH($A6,CTRS_Calc!$AE$5:$AE$18,0)))</f>
        <v>0.40632581722823008</v>
      </c>
      <c r="H6" s="8">
        <f>IF($A6="","",INDEX(CTRS_Calc!$AD$5:$AD$18,MATCH($A6,CTRS_Calc!$AE$5:$AE$18,0)))</f>
        <v>0.73965915056156339</v>
      </c>
      <c r="I6" s="6" t="str">
        <f>IF($A6="","",IF(INDEX(CTRS_Calc!$AH$5:$AH$18,MATCH($A6,CTRS_Calc!$AE$5:$AE$18,0))=1,"no LCC data: substituted ("&amp;CTRS_Control!$C$19&amp;")",""))</f>
        <v/>
      </c>
    </row>
    <row r="7" spans="1:9" x14ac:dyDescent="0.35">
      <c r="A7" s="5">
        <f>IF(2&lt;=SUM(CTRS_Calc!$Y$5:$Y$18),2,"")</f>
        <v>2</v>
      </c>
      <c r="B7" s="6" t="str">
        <f>IF($A7="","",INDEX(CTRS_Calc!$A$5:$A$18,MATCH($A7,CTRS_Calc!$AE$5:$AE$18,0)))</f>
        <v>Kedah</v>
      </c>
      <c r="C7" s="7">
        <f>IF($A7="","",INDEX(CTRS_Calc!$J$5:$J$18,MATCH($A7,CTRS_Calc!$AE$5:$AE$18,0)))</f>
        <v>0.39664804469273746</v>
      </c>
      <c r="D7" s="8">
        <f>IF($A7="","",INDEX(CTRS_Calc!$Z$5:$Z$18,MATCH($A7,CTRS_Calc!$AE$5:$AE$18,0)))</f>
        <v>0.90735633149270334</v>
      </c>
      <c r="E7" s="8">
        <f>IF($A7="","",INDEX(CTRS_Calc!$AA$5:$AA$18,MATCH($A7,CTRS_Calc!$AE$5:$AE$18,0)))</f>
        <v>0.23459722222222212</v>
      </c>
      <c r="F7" s="8">
        <f>IF($A7="","",INDEX(CTRS_Calc!$AB$5:$AB$18,MATCH($A7,CTRS_Calc!$AE$5:$AE$18,0)))</f>
        <v>2.9259081815590175E-2</v>
      </c>
      <c r="G7" s="8">
        <f>IF($A7="","",INDEX(CTRS_Calc!$AC$5:$AC$18,MATCH($A7,CTRS_Calc!$AE$5:$AE$18,0)))</f>
        <v>0.37089815729977843</v>
      </c>
      <c r="H7" s="8">
        <f>IF($A7="","",INDEX(CTRS_Calc!$AD$5:$AD$18,MATCH($A7,CTRS_Calc!$AE$5:$AE$18,0)))</f>
        <v>0.70423149063311175</v>
      </c>
      <c r="I7" s="6" t="str">
        <f>IF($A7="","",IF(INDEX(CTRS_Calc!$AH$5:$AH$18,MATCH($A7,CTRS_Calc!$AE$5:$AE$18,0))=1,"no LCC data: substituted ("&amp;CTRS_Control!$C$19&amp;")",""))</f>
        <v/>
      </c>
    </row>
    <row r="8" spans="1:9" x14ac:dyDescent="0.35">
      <c r="A8" s="5">
        <f>IF(3&lt;=SUM(CTRS_Calc!$Y$5:$Y$18),3,"")</f>
        <v>3</v>
      </c>
      <c r="B8" s="6" t="str">
        <f>IF($A8="","",INDEX(CTRS_Calc!$A$5:$A$18,MATCH($A8,CTRS_Calc!$AE$5:$AE$18,0)))</f>
        <v>Terengganu</v>
      </c>
      <c r="C8" s="7">
        <f>IF($A8="","",INDEX(CTRS_Calc!$J$5:$J$18,MATCH($A8,CTRS_Calc!$AE$5:$AE$18,0)))</f>
        <v>0.54581673306772904</v>
      </c>
      <c r="D8" s="8">
        <f>IF($A8="","",INDEX(CTRS_Calc!$Z$5:$Z$18,MATCH($A8,CTRS_Calc!$AE$5:$AE$18,0)))</f>
        <v>0.91821756417557365</v>
      </c>
      <c r="E8" s="8">
        <f>IF($A8="","",INDEX(CTRS_Calc!$AA$5:$AA$18,MATCH($A8,CTRS_Calc!$AE$5:$AE$18,0)))</f>
        <v>0.28593423913043481</v>
      </c>
      <c r="F8" s="8">
        <f>IF($A8="","",INDEX(CTRS_Calc!$AB$5:$AB$18,MATCH($A8,CTRS_Calc!$AE$5:$AE$18,0)))</f>
        <v>0.25417177943566005</v>
      </c>
      <c r="G8" s="8">
        <f>IF($A8="","",INDEX(CTRS_Calc!$AC$5:$AC$18,MATCH($A8,CTRS_Calc!$AE$5:$AE$18,0)))</f>
        <v>0.31666000795678284</v>
      </c>
      <c r="H8" s="8">
        <f>IF($A8="","",INDEX(CTRS_Calc!$AD$5:$AD$18,MATCH($A8,CTRS_Calc!$AE$5:$AE$18,0)))</f>
        <v>0.64999334129011621</v>
      </c>
      <c r="I8" s="6" t="str">
        <f>IF($A8="","",IF(INDEX(CTRS_Calc!$AH$5:$AH$18,MATCH($A8,CTRS_Calc!$AE$5:$AE$18,0))=1,"no LCC data: substituted ("&amp;CTRS_Control!$C$19&amp;")",""))</f>
        <v/>
      </c>
    </row>
    <row r="9" spans="1:9" x14ac:dyDescent="0.35">
      <c r="A9" s="5">
        <f>IF(4&lt;=SUM(CTRS_Calc!$Y$5:$Y$18),4,"")</f>
        <v>4</v>
      </c>
      <c r="B9" s="6" t="str">
        <f>IF($A9="","",INDEX(CTRS_Calc!$A$5:$A$18,MATCH($A9,CTRS_Calc!$AE$5:$AE$18,0)))</f>
        <v>Kelantan</v>
      </c>
      <c r="C9" s="7">
        <f>IF($A9="","",INDEX(CTRS_Calc!$J$5:$J$18,MATCH($A9,CTRS_Calc!$AE$5:$AE$18,0)))</f>
        <v>0.17582417582417584</v>
      </c>
      <c r="D9" s="8">
        <f>IF($A9="","",INDEX(CTRS_Calc!$Z$5:$Z$18,MATCH($A9,CTRS_Calc!$AE$5:$AE$18,0)))</f>
        <v>0.36761970953330148</v>
      </c>
      <c r="E9" s="8">
        <f>IF($A9="","",INDEX(CTRS_Calc!$AA$5:$AA$18,MATCH($A9,CTRS_Calc!$AE$5:$AE$18,0)))</f>
        <v>0.52750000000000008</v>
      </c>
      <c r="F9" s="8">
        <f>IF($A9="","",INDEX(CTRS_Calc!$AB$5:$AB$18,MATCH($A9,CTRS_Calc!$AE$5:$AE$18,0)))</f>
        <v>0</v>
      </c>
      <c r="G9" s="8">
        <f>IF($A9="","",INDEX(CTRS_Calc!$AC$5:$AC$18,MATCH($A9,CTRS_Calc!$AE$5:$AE$18,0)))</f>
        <v>0.29837323651110048</v>
      </c>
      <c r="H9" s="8">
        <f>IF($A9="","",INDEX(CTRS_Calc!$AD$5:$AD$18,MATCH($A9,CTRS_Calc!$AE$5:$AE$18,0)))</f>
        <v>0.63170656984443374</v>
      </c>
      <c r="I9" s="6" t="str">
        <f>IF($A9="","",IF(INDEX(CTRS_Calc!$AH$5:$AH$18,MATCH($A9,CTRS_Calc!$AE$5:$AE$18,0))=1,"no LCC data: substituted ("&amp;CTRS_Control!$C$19&amp;")",""))</f>
        <v>no LCC data: substituted (ZERO)</v>
      </c>
    </row>
    <row r="10" spans="1:9" x14ac:dyDescent="0.35">
      <c r="A10" s="5">
        <f>IF(5&lt;=SUM(CTRS_Calc!$Y$5:$Y$18),5,"")</f>
        <v>5</v>
      </c>
      <c r="B10" s="6" t="str">
        <f>IF($A10="","",INDEX(CTRS_Calc!$A$5:$A$18,MATCH($A10,CTRS_Calc!$AE$5:$AE$18,0)))</f>
        <v>Perak</v>
      </c>
      <c r="C10" s="7">
        <f>IF($A10="","",INDEX(CTRS_Calc!$J$5:$J$18,MATCH($A10,CTRS_Calc!$AE$5:$AE$18,0)))</f>
        <v>0.14956011730205279</v>
      </c>
      <c r="D10" s="8">
        <f>IF($A10="","",INDEX(CTRS_Calc!$Z$5:$Z$18,MATCH($A10,CTRS_Calc!$AE$5:$AE$18,0)))</f>
        <v>0.50006101654971369</v>
      </c>
      <c r="E10" s="8">
        <f>IF($A10="","",INDEX(CTRS_Calc!$AA$5:$AA$18,MATCH($A10,CTRS_Calc!$AE$5:$AE$18,0)))</f>
        <v>0.37060500000000002</v>
      </c>
      <c r="F10" s="8">
        <f>IF($A10="","",INDEX(CTRS_Calc!$AB$5:$AB$18,MATCH($A10,CTRS_Calc!$AE$5:$AE$18,0)))</f>
        <v>0</v>
      </c>
      <c r="G10" s="8">
        <f>IF($A10="","",INDEX(CTRS_Calc!$AC$5:$AC$18,MATCH($A10,CTRS_Calc!$AE$5:$AE$18,0)))</f>
        <v>0.29022200551657124</v>
      </c>
      <c r="H10" s="8">
        <f>IF($A10="","",INDEX(CTRS_Calc!$AD$5:$AD$18,MATCH($A10,CTRS_Calc!$AE$5:$AE$18,0)))</f>
        <v>0.62355533884990455</v>
      </c>
      <c r="I10" s="6" t="str">
        <f>IF($A10="","",IF(INDEX(CTRS_Calc!$AH$5:$AH$18,MATCH($A10,CTRS_Calc!$AE$5:$AE$18,0))=1,"no LCC data: substituted ("&amp;CTRS_Control!$C$19&amp;")",""))</f>
        <v/>
      </c>
    </row>
    <row r="11" spans="1:9" x14ac:dyDescent="0.35">
      <c r="A11" s="5">
        <f>IF(6&lt;=SUM(CTRS_Calc!$Y$5:$Y$18),6,"")</f>
        <v>6</v>
      </c>
      <c r="B11" s="6" t="str">
        <f>IF($A11="","",INDEX(CTRS_Calc!$A$5:$A$18,MATCH($A11,CTRS_Calc!$AE$5:$AE$18,0)))</f>
        <v>Selangor</v>
      </c>
      <c r="C11" s="7">
        <f>IF($A11="","",INDEX(CTRS_Calc!$J$5:$J$18,MATCH($A11,CTRS_Calc!$AE$5:$AE$18,0)))</f>
        <v>4.2654028436018961E-2</v>
      </c>
      <c r="D11" s="8">
        <f>IF($A11="","",INDEX(CTRS_Calc!$Z$5:$Z$18,MATCH($A11,CTRS_Calc!$AE$5:$AE$18,0)))</f>
        <v>0.14510451998850574</v>
      </c>
      <c r="E11" s="8">
        <f>IF($A11="","",INDEX(CTRS_Calc!$AA$5:$AA$18,MATCH($A11,CTRS_Calc!$AE$5:$AE$18,0)))</f>
        <v>0.63583333333333336</v>
      </c>
      <c r="F11" s="8">
        <f>IF($A11="","",INDEX(CTRS_Calc!$AB$5:$AB$18,MATCH($A11,CTRS_Calc!$AE$5:$AE$18,0)))</f>
        <v>0</v>
      </c>
      <c r="G11" s="8">
        <f>IF($A11="","",INDEX(CTRS_Calc!$AC$5:$AC$18,MATCH($A11,CTRS_Calc!$AE$5:$AE$18,0)))</f>
        <v>0.26031261777394632</v>
      </c>
      <c r="H11" s="8">
        <f>IF($A11="","",INDEX(CTRS_Calc!$AD$5:$AD$18,MATCH($A11,CTRS_Calc!$AE$5:$AE$18,0)))</f>
        <v>0.59364595110727958</v>
      </c>
      <c r="I11" s="6" t="str">
        <f>IF($A11="","",IF(INDEX(CTRS_Calc!$AH$5:$AH$18,MATCH($A11,CTRS_Calc!$AE$5:$AE$18,0))=1,"no LCC data: substituted ("&amp;CTRS_Control!$C$19&amp;")",""))</f>
        <v>no LCC data: substituted (ZERO)</v>
      </c>
    </row>
    <row r="12" spans="1:9" x14ac:dyDescent="0.35">
      <c r="A12" s="5">
        <f>IF(7&lt;=SUM(CTRS_Calc!$Y$5:$Y$18),7,"")</f>
        <v>7</v>
      </c>
      <c r="B12" s="6" t="str">
        <f>IF($A12="","",INDEX(CTRS_Calc!$A$5:$A$18,MATCH($A12,CTRS_Calc!$AE$5:$AE$18,0)))</f>
        <v>Pulau Pinang</v>
      </c>
      <c r="C12" s="7">
        <f>IF($A12="","",INDEX(CTRS_Calc!$J$5:$J$18,MATCH($A12,CTRS_Calc!$AE$5:$AE$18,0)))</f>
        <v>8.3003952569169967E-2</v>
      </c>
      <c r="D12" s="8">
        <f>IF($A12="","",INDEX(CTRS_Calc!$Z$5:$Z$18,MATCH($A12,CTRS_Calc!$AE$5:$AE$18,0)))</f>
        <v>0.15002689704648406</v>
      </c>
      <c r="E12" s="8">
        <f>IF($A12="","",INDEX(CTRS_Calc!$AA$5:$AA$18,MATCH($A12,CTRS_Calc!$AE$5:$AE$18,0)))</f>
        <v>0.59264705882352942</v>
      </c>
      <c r="F12" s="8">
        <f>IF($A12="","",INDEX(CTRS_Calc!$AB$5:$AB$18,MATCH($A12,CTRS_Calc!$AE$5:$AE$18,0)))</f>
        <v>0</v>
      </c>
      <c r="G12" s="8">
        <f>IF($A12="","",INDEX(CTRS_Calc!$AC$5:$AC$18,MATCH($A12,CTRS_Calc!$AE$5:$AE$18,0)))</f>
        <v>0.24755798529000447</v>
      </c>
      <c r="H12" s="8">
        <f>IF($A12="","",INDEX(CTRS_Calc!$AD$5:$AD$18,MATCH($A12,CTRS_Calc!$AE$5:$AE$18,0)))</f>
        <v>0.58089131862333776</v>
      </c>
      <c r="I12" s="6" t="str">
        <f>IF($A12="","",IF(INDEX(CTRS_Calc!$AH$5:$AH$18,MATCH($A12,CTRS_Calc!$AE$5:$AE$18,0))=1,"no LCC data: substituted ("&amp;CTRS_Control!$C$19&amp;")",""))</f>
        <v>no LCC data: substituted (ZERO)</v>
      </c>
    </row>
    <row r="13" spans="1:9" x14ac:dyDescent="0.35">
      <c r="A13" s="5">
        <f>IF(8&lt;=SUM(CTRS_Calc!$Y$5:$Y$18),8,"")</f>
        <v>8</v>
      </c>
      <c r="B13" s="6" t="str">
        <f>IF($A13="","",INDEX(CTRS_Calc!$A$5:$A$18,MATCH($A13,CTRS_Calc!$AE$5:$AE$18,0)))</f>
        <v>Johor</v>
      </c>
      <c r="C13" s="7">
        <f>IF($A13="","",INDEX(CTRS_Calc!$J$5:$J$18,MATCH($A13,CTRS_Calc!$AE$5:$AE$18,0)))</f>
        <v>0.13508064516129031</v>
      </c>
      <c r="D13" s="8">
        <f>IF($A13="","",INDEX(CTRS_Calc!$Z$5:$Z$18,MATCH($A13,CTRS_Calc!$AE$5:$AE$18,0)))</f>
        <v>0.42597662653454393</v>
      </c>
      <c r="E13" s="8">
        <f>IF($A13="","",INDEX(CTRS_Calc!$AA$5:$AA$18,MATCH($A13,CTRS_Calc!$AE$5:$AE$18,0)))</f>
        <v>0.31370225779967165</v>
      </c>
      <c r="F13" s="8">
        <f>IF($A13="","",INDEX(CTRS_Calc!$AB$5:$AB$18,MATCH($A13,CTRS_Calc!$AE$5:$AE$18,0)))</f>
        <v>0.17832115844592411</v>
      </c>
      <c r="G13" s="8">
        <f>IF($A13="","",INDEX(CTRS_Calc!$AC$5:$AC$18,MATCH($A13,CTRS_Calc!$AE$5:$AE$18,0)))</f>
        <v>0.18711924196276383</v>
      </c>
      <c r="H13" s="8">
        <f>IF($A13="","",INDEX(CTRS_Calc!$AD$5:$AD$18,MATCH($A13,CTRS_Calc!$AE$5:$AE$18,0)))</f>
        <v>0.52045257529609712</v>
      </c>
      <c r="I13" s="6" t="str">
        <f>IF($A13="","",IF(INDEX(CTRS_Calc!$AH$5:$AH$18,MATCH($A13,CTRS_Calc!$AE$5:$AE$18,0))=1,"no LCC data: substituted ("&amp;CTRS_Control!$C$19&amp;")",""))</f>
        <v/>
      </c>
    </row>
    <row r="14" spans="1:9" x14ac:dyDescent="0.35">
      <c r="A14" s="5">
        <f>IF(9&lt;=SUM(CTRS_Calc!$Y$5:$Y$18),9,"")</f>
        <v>9</v>
      </c>
      <c r="B14" s="6" t="str">
        <f>IF($A14="","",INDEX(CTRS_Calc!$A$5:$A$18,MATCH($A14,CTRS_Calc!$AE$5:$AE$18,0)))</f>
        <v>W.P. Labuan</v>
      </c>
      <c r="C14" s="7">
        <f>IF($A14="","",INDEX(CTRS_Calc!$J$5:$J$18,MATCH($A14,CTRS_Calc!$AE$5:$AE$18,0)))</f>
        <v>4.6511627906976744E-2</v>
      </c>
      <c r="D14" s="8">
        <f>IF($A14="","",INDEX(CTRS_Calc!$Z$5:$Z$18,MATCH($A14,CTRS_Calc!$AE$5:$AE$18,0)))</f>
        <v>3.9840069130533855E-3</v>
      </c>
      <c r="E14" s="8">
        <f>IF($A14="","",INDEX(CTRS_Calc!$AA$5:$AA$18,MATCH($A14,CTRS_Calc!$AE$5:$AE$18,0)))</f>
        <v>0.60399999999999998</v>
      </c>
      <c r="F14" s="8">
        <f>IF($A14="","",INDEX(CTRS_Calc!$AB$5:$AB$18,MATCH($A14,CTRS_Calc!$AE$5:$AE$18,0)))</f>
        <v>5.1691251600274997E-2</v>
      </c>
      <c r="G14" s="8">
        <f>IF($A14="","",INDEX(CTRS_Calc!$AC$5:$AC$18,MATCH($A14,CTRS_Calc!$AE$5:$AE$18,0)))</f>
        <v>0.18543091843759277</v>
      </c>
      <c r="H14" s="8">
        <f>IF($A14="","",INDEX(CTRS_Calc!$AD$5:$AD$18,MATCH($A14,CTRS_Calc!$AE$5:$AE$18,0)))</f>
        <v>0.51876425177092611</v>
      </c>
      <c r="I14" s="6" t="str">
        <f>IF($A14="","",IF(INDEX(CTRS_Calc!$AH$5:$AH$18,MATCH($A14,CTRS_Calc!$AE$5:$AE$18,0))=1,"no LCC data: substituted ("&amp;CTRS_Control!$C$19&amp;")",""))</f>
        <v>no LCC data: substituted (ZERO)</v>
      </c>
    </row>
    <row r="15" spans="1:9" x14ac:dyDescent="0.35">
      <c r="A15" s="5">
        <f>IF(10&lt;=SUM(CTRS_Calc!$Y$5:$Y$18),10,"")</f>
        <v>10</v>
      </c>
      <c r="B15" s="6" t="str">
        <f>IF($A15="","",INDEX(CTRS_Calc!$A$5:$A$18,MATCH($A15,CTRS_Calc!$AE$5:$AE$18,0)))</f>
        <v>Sabah</v>
      </c>
      <c r="C15" s="7">
        <f>IF($A15="","",INDEX(CTRS_Calc!$J$5:$J$18,MATCH($A15,CTRS_Calc!$AE$5:$AE$18,0)))</f>
        <v>5.9360730593607303E-2</v>
      </c>
      <c r="D15" s="8">
        <f>IF($A15="","",INDEX(CTRS_Calc!$Z$5:$Z$18,MATCH($A15,CTRS_Calc!$AE$5:$AE$18,0)))</f>
        <v>0.14027091743720072</v>
      </c>
      <c r="E15" s="8">
        <f>IF($A15="","",INDEX(CTRS_Calc!$AA$5:$AA$18,MATCH($A15,CTRS_Calc!$AE$5:$AE$18,0)))</f>
        <v>0.41096312056737588</v>
      </c>
      <c r="F15" s="8">
        <f>IF($A15="","",INDEX(CTRS_Calc!$AB$5:$AB$18,MATCH($A15,CTRS_Calc!$AE$5:$AE$18,0)))</f>
        <v>0.11766119120136984</v>
      </c>
      <c r="G15" s="8">
        <f>IF($A15="","",INDEX(CTRS_Calc!$AC$5:$AC$18,MATCH($A15,CTRS_Calc!$AE$5:$AE$18,0)))</f>
        <v>0.14452428226773559</v>
      </c>
      <c r="H15" s="8">
        <f>IF($A15="","",INDEX(CTRS_Calc!$AD$5:$AD$18,MATCH($A15,CTRS_Calc!$AE$5:$AE$18,0)))</f>
        <v>0.47785761560106887</v>
      </c>
      <c r="I15" s="6" t="str">
        <f>IF($A15="","",IF(INDEX(CTRS_Calc!$AH$5:$AH$18,MATCH($A15,CTRS_Calc!$AE$5:$AE$18,0))=1,"no LCC data: substituted ("&amp;CTRS_Control!$C$19&amp;")",""))</f>
        <v/>
      </c>
    </row>
    <row r="16" spans="1:9" x14ac:dyDescent="0.35">
      <c r="A16" s="5">
        <f>IF(11&lt;=SUM(CTRS_Calc!$Y$5:$Y$18),11,"")</f>
        <v>11</v>
      </c>
      <c r="B16" s="6" t="str">
        <f>IF($A16="","",INDEX(CTRS_Calc!$A$5:$A$18,MATCH($A16,CTRS_Calc!$AE$5:$AE$18,0)))</f>
        <v>Negeri Sembilan</v>
      </c>
      <c r="C16" s="7">
        <f>IF($A16="","",INDEX(CTRS_Calc!$J$5:$J$18,MATCH($A16,CTRS_Calc!$AE$5:$AE$18,0)))</f>
        <v>0.24374999999999999</v>
      </c>
      <c r="D16" s="8">
        <f>IF($A16="","",INDEX(CTRS_Calc!$Z$5:$Z$18,MATCH($A16,CTRS_Calc!$AE$5:$AE$18,0)))</f>
        <v>0.51237228085992725</v>
      </c>
      <c r="E16" s="8">
        <f>IF($A16="","",INDEX(CTRS_Calc!$AA$5:$AA$18,MATCH($A16,CTRS_Calc!$AE$5:$AE$18,0)))</f>
        <v>0.45791428571428572</v>
      </c>
      <c r="F16" s="8">
        <f>IF($A16="","",INDEX(CTRS_Calc!$AB$5:$AB$18,MATCH($A16,CTRS_Calc!$AE$5:$AE$18,0)))</f>
        <v>0.54556922106590977</v>
      </c>
      <c r="G16" s="8">
        <f>IF($A16="","",INDEX(CTRS_Calc!$AC$5:$AC$18,MATCH($A16,CTRS_Calc!$AE$5:$AE$18,0)))</f>
        <v>0.14157244850276773</v>
      </c>
      <c r="H16" s="8">
        <f>IF($A16="","",INDEX(CTRS_Calc!$AD$5:$AD$18,MATCH($A16,CTRS_Calc!$AE$5:$AE$18,0)))</f>
        <v>0.47490578183610105</v>
      </c>
      <c r="I16" s="6" t="str">
        <f>IF($A16="","",IF(INDEX(CTRS_Calc!$AH$5:$AH$18,MATCH($A16,CTRS_Calc!$AE$5:$AE$18,0))=1,"no LCC data: substituted ("&amp;CTRS_Control!$C$19&amp;")",""))</f>
        <v/>
      </c>
    </row>
    <row r="17" spans="1:9" x14ac:dyDescent="0.35">
      <c r="A17" s="5">
        <f>IF(12&lt;=SUM(CTRS_Calc!$Y$5:$Y$18),12,"")</f>
        <v>12</v>
      </c>
      <c r="B17" s="6" t="str">
        <f>IF($A17="","",INDEX(CTRS_Calc!$A$5:$A$18,MATCH($A17,CTRS_Calc!$AE$5:$AE$18,0)))</f>
        <v>Melaka</v>
      </c>
      <c r="C17" s="7">
        <f>IF($A17="","",INDEX(CTRS_Calc!$J$5:$J$18,MATCH($A17,CTRS_Calc!$AE$5:$AE$18,0)))</f>
        <v>0.1270718232044199</v>
      </c>
      <c r="D17" s="8">
        <f>IF($A17="","",INDEX(CTRS_Calc!$Z$5:$Z$18,MATCH($A17,CTRS_Calc!$AE$5:$AE$18,0)))</f>
        <v>0.29288128965584348</v>
      </c>
      <c r="E17" s="8">
        <f>IF($A17="","",INDEX(CTRS_Calc!$AA$5:$AA$18,MATCH($A17,CTRS_Calc!$AE$5:$AE$18,0)))</f>
        <v>0.44490555555555555</v>
      </c>
      <c r="F17" s="8">
        <f>IF($A17="","",INDEX(CTRS_Calc!$AB$5:$AB$18,MATCH($A17,CTRS_Calc!$AE$5:$AE$18,0)))</f>
        <v>0.66325506722857708</v>
      </c>
      <c r="G17" s="8">
        <f>IF($A17="","",INDEX(CTRS_Calc!$AC$5:$AC$18,MATCH($A17,CTRS_Calc!$AE$5:$AE$18,0)))</f>
        <v>2.4843925994273985E-2</v>
      </c>
      <c r="H17" s="8">
        <f>IF($A17="","",INDEX(CTRS_Calc!$AD$5:$AD$18,MATCH($A17,CTRS_Calc!$AE$5:$AE$18,0)))</f>
        <v>0.3581772593276073</v>
      </c>
      <c r="I17" s="6" t="str">
        <f>IF($A17="","",IF(INDEX(CTRS_Calc!$AH$5:$AH$18,MATCH($A17,CTRS_Calc!$AE$5:$AE$18,0))=1,"no LCC data: substituted ("&amp;CTRS_Control!$C$19&amp;")",""))</f>
        <v/>
      </c>
    </row>
    <row r="18" spans="1:9" x14ac:dyDescent="0.35">
      <c r="A18" s="5">
        <f>IF(13&lt;=SUM(CTRS_Calc!$Y$5:$Y$18),13,"")</f>
        <v>13</v>
      </c>
      <c r="B18" s="6" t="str">
        <f>IF($A18="","",INDEX(CTRS_Calc!$A$5:$A$18,MATCH($A18,CTRS_Calc!$AE$5:$AE$18,0)))</f>
        <v>Sarawak</v>
      </c>
      <c r="C18" s="7">
        <f>IF($A18="","",INDEX(CTRS_Calc!$J$5:$J$18,MATCH($A18,CTRS_Calc!$AE$5:$AE$18,0)))</f>
        <v>1.282051282051282E-2</v>
      </c>
      <c r="D18" s="8">
        <f>IF($A18="","",INDEX(CTRS_Calc!$Z$5:$Z$18,MATCH($A18,CTRS_Calc!$AE$5:$AE$18,0)))</f>
        <v>2.6055473522097916E-2</v>
      </c>
      <c r="E18" s="8">
        <f>IF($A18="","",INDEX(CTRS_Calc!$AA$5:$AA$18,MATCH($A18,CTRS_Calc!$AE$5:$AE$18,0)))</f>
        <v>0.37444130434782608</v>
      </c>
      <c r="F18" s="8">
        <f>IF($A18="","",INDEX(CTRS_Calc!$AB$5:$AB$18,MATCH($A18,CTRS_Calc!$AE$5:$AE$18,0)))</f>
        <v>0.34069737649542287</v>
      </c>
      <c r="G18" s="8">
        <f>IF($A18="","",INDEX(CTRS_Calc!$AC$5:$AC$18,MATCH($A18,CTRS_Calc!$AE$5:$AE$18,0)))</f>
        <v>1.9933133791500385E-2</v>
      </c>
      <c r="H18" s="8">
        <f>IF($A18="","",INDEX(CTRS_Calc!$AD$5:$AD$18,MATCH($A18,CTRS_Calc!$AE$5:$AE$18,0)))</f>
        <v>0.35326646712483367</v>
      </c>
      <c r="I18" s="6" t="str">
        <f>IF($A18="","",IF(INDEX(CTRS_Calc!$AH$5:$AH$18,MATCH($A18,CTRS_Calc!$AE$5:$AE$18,0))=1,"no LCC data: substituted ("&amp;CTRS_Control!$C$19&amp;")",""))</f>
        <v/>
      </c>
    </row>
    <row r="19" spans="1:9" x14ac:dyDescent="0.35">
      <c r="A19" s="5" t="str">
        <f>IF(14&lt;=SUM(CTRS_Calc!$Y$5:$Y$18),14,"")</f>
        <v/>
      </c>
      <c r="B19" s="6" t="str">
        <f>IF($A19="","",INDEX(CTRS_Calc!$A$5:$A$18,MATCH($A19,CTRS_Calc!$AE$5:$AE$18,0)))</f>
        <v/>
      </c>
      <c r="C19" s="7" t="str">
        <f>IF($A19="","",INDEX(CTRS_Calc!$J$5:$J$18,MATCH($A19,CTRS_Calc!$AE$5:$AE$18,0)))</f>
        <v/>
      </c>
      <c r="D19" s="8" t="str">
        <f>IF($A19="","",INDEX(CTRS_Calc!$Z$5:$Z$18,MATCH($A19,CTRS_Calc!$AE$5:$AE$18,0)))</f>
        <v/>
      </c>
      <c r="E19" s="8" t="str">
        <f>IF($A19="","",INDEX(CTRS_Calc!$AA$5:$AA$18,MATCH($A19,CTRS_Calc!$AE$5:$AE$18,0)))</f>
        <v/>
      </c>
      <c r="F19" s="8" t="str">
        <f>IF($A19="","",INDEX(CTRS_Calc!$AB$5:$AB$18,MATCH($A19,CTRS_Calc!$AE$5:$AE$18,0)))</f>
        <v/>
      </c>
      <c r="G19" s="8" t="str">
        <f>IF($A19="","",INDEX(CTRS_Calc!$AC$5:$AC$18,MATCH($A19,CTRS_Calc!$AE$5:$AE$18,0)))</f>
        <v/>
      </c>
      <c r="H19" s="8" t="str">
        <f>IF($A19="","",INDEX(CTRS_Calc!$AD$5:$AD$18,MATCH($A19,CTRS_Calc!$AE$5:$AE$18,0)))</f>
        <v/>
      </c>
      <c r="I19" s="6" t="str">
        <f>IF($A19="","",IF(INDEX(CTRS_Calc!$AH$5:$AH$18,MATCH($A19,CTRS_Calc!$AE$5:$AE$18,0))=1,"no LCC data: substituted ("&amp;CTRS_Control!$C$19&amp;")",""))</f>
        <v/>
      </c>
    </row>
    <row r="21" spans="1:9" x14ac:dyDescent="0.35">
      <c r="A21" s="6" t="str">
        <f>"States excluded (missing data): "&amp;SUMPRODUCT(1-CTRS_Calc!$Y$5:$Y$18)&amp;" — see CTRS_Calc col AF"</f>
        <v>States excluded (missing data): 1 — see CTRS_Calc col AF</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F40"/>
  <sheetViews>
    <sheetView workbookViewId="0"/>
  </sheetViews>
  <sheetFormatPr defaultRowHeight="14.5" x14ac:dyDescent="0.35"/>
  <cols>
    <col min="1" max="1" width="3" customWidth="1"/>
    <col min="2" max="2" width="34" customWidth="1"/>
    <col min="3" max="3" width="22" customWidth="1"/>
    <col min="4" max="4" width="90" customWidth="1"/>
    <col min="5" max="6" width="16" customWidth="1"/>
  </cols>
  <sheetData>
    <row r="1" spans="1:4" ht="18" x14ac:dyDescent="0.4">
      <c r="A1" s="1" t="s">
        <v>11</v>
      </c>
    </row>
    <row r="2" spans="1:4" x14ac:dyDescent="0.35">
      <c r="A2" s="3" t="s">
        <v>12</v>
      </c>
    </row>
    <row r="4" spans="1:4" x14ac:dyDescent="0.35">
      <c r="B4" s="4" t="s">
        <v>13</v>
      </c>
      <c r="C4" s="4" t="s">
        <v>14</v>
      </c>
      <c r="D4" s="4" t="s">
        <v>15</v>
      </c>
    </row>
    <row r="5" spans="1:4" x14ac:dyDescent="0.35">
      <c r="B5" s="6" t="s">
        <v>16</v>
      </c>
      <c r="C5" s="9" t="s">
        <v>17</v>
      </c>
      <c r="D5" s="10" t="s">
        <v>18</v>
      </c>
    </row>
    <row r="6" spans="1:4" ht="25" x14ac:dyDescent="0.35">
      <c r="B6" s="6" t="s">
        <v>19</v>
      </c>
      <c r="C6" s="9" t="s">
        <v>20</v>
      </c>
      <c r="D6" s="10" t="s">
        <v>21</v>
      </c>
    </row>
    <row r="7" spans="1:4" ht="37.5" x14ac:dyDescent="0.35">
      <c r="B7" s="6" t="s">
        <v>22</v>
      </c>
      <c r="C7" s="9" t="s">
        <v>23</v>
      </c>
      <c r="D7" s="10" t="s">
        <v>24</v>
      </c>
    </row>
    <row r="8" spans="1:4" x14ac:dyDescent="0.35">
      <c r="B8" s="6" t="s">
        <v>25</v>
      </c>
      <c r="C8" s="11" t="str">
        <f>IF(C7="AUTO",IF(AND(SUM(CTRS_Calc!$AG$5:$AG$18)&gt;0,SUMPRODUCT(CTRS_Calc!$AG$5:$AG$18*CTRS_Calc!$X$5:$X$18)=SUM(CTRS_Calc!$AG$5:$AG$18)),"TOURISTS","SHARE_ONLY"),C7)</f>
        <v>TOURISTS</v>
      </c>
      <c r="D8" s="6" t="s">
        <v>26</v>
      </c>
    </row>
    <row r="9" spans="1:4" x14ac:dyDescent="0.35">
      <c r="B9" s="6" t="s">
        <v>27</v>
      </c>
      <c r="C9" s="9" t="s">
        <v>28</v>
      </c>
      <c r="D9" s="10" t="s">
        <v>29</v>
      </c>
    </row>
    <row r="10" spans="1:4" x14ac:dyDescent="0.35">
      <c r="B10" s="6" t="s">
        <v>30</v>
      </c>
      <c r="C10" s="9">
        <v>2025</v>
      </c>
      <c r="D10" s="10" t="s">
        <v>31</v>
      </c>
    </row>
    <row r="11" spans="1:4" x14ac:dyDescent="0.35">
      <c r="B11" s="6" t="s">
        <v>32</v>
      </c>
      <c r="C11" s="9" t="s">
        <v>33</v>
      </c>
      <c r="D11" s="10" t="s">
        <v>34</v>
      </c>
    </row>
    <row r="12" spans="1:4" x14ac:dyDescent="0.35">
      <c r="B12" s="6" t="s">
        <v>35</v>
      </c>
      <c r="C12" s="12">
        <f>1/3</f>
        <v>0.33333333333333331</v>
      </c>
      <c r="D12" s="6" t="s">
        <v>36</v>
      </c>
    </row>
    <row r="13" spans="1:4" x14ac:dyDescent="0.35">
      <c r="B13" s="6" t="s">
        <v>37</v>
      </c>
      <c r="C13" s="12">
        <f>1/3</f>
        <v>0.33333333333333331</v>
      </c>
      <c r="D13" s="6"/>
    </row>
    <row r="14" spans="1:4" x14ac:dyDescent="0.35">
      <c r="B14" s="6" t="s">
        <v>38</v>
      </c>
      <c r="C14" s="12">
        <f>1/3</f>
        <v>0.33333333333333331</v>
      </c>
      <c r="D14" s="6"/>
    </row>
    <row r="15" spans="1:4" x14ac:dyDescent="0.35">
      <c r="B15" s="6" t="s">
        <v>39</v>
      </c>
      <c r="C15" s="12">
        <f>0.5</f>
        <v>0.5</v>
      </c>
      <c r="D15" s="6" t="s">
        <v>40</v>
      </c>
    </row>
    <row r="16" spans="1:4" x14ac:dyDescent="0.35">
      <c r="B16" s="6" t="s">
        <v>41</v>
      </c>
      <c r="C16" s="12">
        <f>0.5</f>
        <v>0.5</v>
      </c>
      <c r="D16" s="6"/>
    </row>
    <row r="17" spans="2:4" x14ac:dyDescent="0.35">
      <c r="B17" s="6" t="s">
        <v>42</v>
      </c>
      <c r="C17" s="11" t="str">
        <f>IF(AND(ABS(C12+C13+C14-1)&lt;0.000001,ABS(C15+C16-1)&lt;0.000001),"OK","weights should sum to 1")</f>
        <v>OK</v>
      </c>
    </row>
    <row r="18" spans="2:4" x14ac:dyDescent="0.35">
      <c r="B18" s="6" t="s">
        <v>43</v>
      </c>
      <c r="C18" s="9">
        <v>2025</v>
      </c>
      <c r="D18" s="6" t="s">
        <v>44</v>
      </c>
    </row>
    <row r="19" spans="2:4" ht="37.5" x14ac:dyDescent="0.35">
      <c r="B19" s="6" t="s">
        <v>45</v>
      </c>
      <c r="C19" s="9" t="s">
        <v>46</v>
      </c>
      <c r="D19" s="10" t="s">
        <v>47</v>
      </c>
    </row>
    <row r="20" spans="2:4" x14ac:dyDescent="0.35">
      <c r="B20" s="11"/>
    </row>
    <row r="21" spans="2:4" x14ac:dyDescent="0.35">
      <c r="B21" s="4"/>
      <c r="C21" s="4"/>
      <c r="D21" s="4"/>
    </row>
    <row r="22" spans="2:4" x14ac:dyDescent="0.35">
      <c r="B22" s="13"/>
      <c r="C22" s="14"/>
      <c r="D22" s="10"/>
    </row>
    <row r="23" spans="2:4" x14ac:dyDescent="0.35">
      <c r="B23" s="13"/>
      <c r="C23" s="14"/>
      <c r="D23" s="10"/>
    </row>
    <row r="24" spans="2:4" x14ac:dyDescent="0.35">
      <c r="B24" s="13"/>
      <c r="C24" s="14"/>
      <c r="D24" s="10"/>
    </row>
    <row r="25" spans="2:4" x14ac:dyDescent="0.35">
      <c r="B25" s="13"/>
      <c r="C25" s="14"/>
      <c r="D25" s="10"/>
    </row>
    <row r="26" spans="2:4" x14ac:dyDescent="0.35">
      <c r="B26" s="13"/>
      <c r="C26" s="14"/>
      <c r="D26" s="10"/>
    </row>
    <row r="27" spans="2:4" x14ac:dyDescent="0.35">
      <c r="B27" s="13"/>
      <c r="C27" s="14"/>
      <c r="D27" s="10"/>
    </row>
    <row r="28" spans="2:4" x14ac:dyDescent="0.35">
      <c r="B28" s="13"/>
      <c r="C28" s="14"/>
      <c r="D28" s="10"/>
    </row>
    <row r="30" spans="2:4" ht="25" x14ac:dyDescent="0.35">
      <c r="B30" s="6" t="s">
        <v>48</v>
      </c>
      <c r="C30" s="9" t="s">
        <v>49</v>
      </c>
      <c r="D30" s="10" t="s">
        <v>50</v>
      </c>
    </row>
    <row r="31" spans="2:4" ht="37.5" x14ac:dyDescent="0.35">
      <c r="B31" s="6" t="s">
        <v>51</v>
      </c>
      <c r="C31" s="9" t="s">
        <v>52</v>
      </c>
      <c r="D31" s="10" t="s">
        <v>53</v>
      </c>
    </row>
    <row r="32" spans="2:4" ht="25" x14ac:dyDescent="0.35">
      <c r="B32" s="6" t="s">
        <v>54</v>
      </c>
      <c r="C32" s="9" t="s">
        <v>55</v>
      </c>
      <c r="D32" s="10" t="s">
        <v>56</v>
      </c>
    </row>
    <row r="33" spans="2:6" x14ac:dyDescent="0.35">
      <c r="B33" s="11" t="s">
        <v>57</v>
      </c>
    </row>
    <row r="34" spans="2:6" x14ac:dyDescent="0.35">
      <c r="B34" s="4" t="s">
        <v>58</v>
      </c>
      <c r="C34" s="4" t="s">
        <v>59</v>
      </c>
      <c r="D34" s="4" t="s">
        <v>60</v>
      </c>
      <c r="E34" s="4" t="s">
        <v>61</v>
      </c>
      <c r="F34" s="4" t="s">
        <v>62</v>
      </c>
    </row>
    <row r="35" spans="2:6" x14ac:dyDescent="0.35">
      <c r="B35" s="13" t="s">
        <v>63</v>
      </c>
      <c r="C35" s="15">
        <f t="shared" ref="C35:C40" si="0">IF($C$32="LEVELS",E35,F35)</f>
        <v>1</v>
      </c>
      <c r="D35" s="10" t="s">
        <v>64</v>
      </c>
      <c r="E35" s="16">
        <f>1</f>
        <v>1</v>
      </c>
      <c r="F35" s="16">
        <v>1</v>
      </c>
    </row>
    <row r="36" spans="2:6" x14ac:dyDescent="0.35">
      <c r="B36" s="13" t="s">
        <v>65</v>
      </c>
      <c r="C36" s="15">
        <f t="shared" si="0"/>
        <v>0.83333333333333337</v>
      </c>
      <c r="D36" s="10" t="s">
        <v>66</v>
      </c>
      <c r="E36" s="16">
        <f>5/6</f>
        <v>0.83333333333333337</v>
      </c>
      <c r="F36" s="16">
        <v>1</v>
      </c>
    </row>
    <row r="37" spans="2:6" x14ac:dyDescent="0.35">
      <c r="B37" s="13" t="s">
        <v>67</v>
      </c>
      <c r="C37" s="15">
        <f t="shared" si="0"/>
        <v>0.66666666666666663</v>
      </c>
      <c r="D37" s="10" t="s">
        <v>68</v>
      </c>
      <c r="E37" s="16">
        <f>2/3</f>
        <v>0.66666666666666663</v>
      </c>
      <c r="F37" s="16">
        <v>1</v>
      </c>
    </row>
    <row r="38" spans="2:6" x14ac:dyDescent="0.35">
      <c r="B38" s="13" t="s">
        <v>69</v>
      </c>
      <c r="C38" s="15">
        <f t="shared" si="0"/>
        <v>0.5</v>
      </c>
      <c r="D38" s="10" t="s">
        <v>70</v>
      </c>
      <c r="E38" s="16">
        <f>0.5</f>
        <v>0.5</v>
      </c>
      <c r="F38" s="16">
        <v>1</v>
      </c>
    </row>
    <row r="39" spans="2:6" x14ac:dyDescent="0.35">
      <c r="B39" s="13" t="s">
        <v>71</v>
      </c>
      <c r="C39" s="15">
        <f t="shared" si="0"/>
        <v>0</v>
      </c>
      <c r="D39" s="10" t="s">
        <v>72</v>
      </c>
      <c r="E39" s="16">
        <v>0</v>
      </c>
      <c r="F39" s="16">
        <v>0</v>
      </c>
    </row>
    <row r="40" spans="2:6" x14ac:dyDescent="0.35">
      <c r="B40" s="13" t="s">
        <v>73</v>
      </c>
      <c r="C40" s="15">
        <f t="shared" si="0"/>
        <v>0</v>
      </c>
      <c r="D40" s="10" t="s">
        <v>74</v>
      </c>
      <c r="E40" s="16">
        <v>0</v>
      </c>
      <c r="F40" s="16">
        <v>0</v>
      </c>
    </row>
  </sheetData>
  <dataValidations count="9">
    <dataValidation type="list" sqref="C5" xr:uid="{00000000-0002-0000-0100-000000000000}">
      <formula1>"HOTELS,ROOMS"</formula1>
    </dataValidation>
    <dataValidation type="list" sqref="C6" xr:uid="{00000000-0002-0000-0100-000001000000}">
      <formula1>"REPORTED,SUM_CATEGORIES"</formula1>
    </dataValidation>
    <dataValidation type="list" sqref="C7" xr:uid="{00000000-0002-0000-0100-000002000000}">
      <formula1>"AUTO,TOURISTS,SHARE_ONLY"</formula1>
    </dataValidation>
    <dataValidation type="list" sqref="C9" xr:uid="{00000000-0002-0000-0100-000003000000}">
      <formula1>"MAX,MINMAX"</formula1>
    </dataValidation>
    <dataValidation type="list" sqref="C10 C18" xr:uid="{00000000-0002-0000-0100-000004000000}">
      <formula1>"2021,2022,2023,2024,2025"</formula1>
    </dataValidation>
    <dataValidation type="list" sqref="C11" xr:uid="{00000000-0002-0000-0100-000005000000}">
      <formula1>"SITES,SIMPLE"</formula1>
    </dataValidation>
    <dataValidation type="list" sqref="C19" xr:uid="{00000000-0002-0000-0100-000007000000}">
      <formula1>"EXCLUDE,ZERO,NO_STRESS,MMWQI_ONLY"</formula1>
    </dataValidation>
    <dataValidation type="list" sqref="C32" xr:uid="{00000000-0002-0000-0100-000008000000}">
      <formula1>"LEVELS,BINARY"</formula1>
    </dataValidation>
    <dataValidation type="list" sqref="C31" xr:uid="{00000000-0002-0000-0100-000009000000}">
      <formula1>"MYIMCA,NATIONAL_SEA,MANUAL"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D19"/>
  <sheetViews>
    <sheetView workbookViewId="0">
      <pane ySplit="5" topLeftCell="A6" activePane="bottomLeft" state="frozen"/>
      <selection pane="bottomLeft"/>
    </sheetView>
  </sheetViews>
  <sheetFormatPr defaultRowHeight="14.5" x14ac:dyDescent="0.35"/>
  <cols>
    <col min="1" max="1" width="22" customWidth="1"/>
    <col min="2" max="4" width="20" customWidth="1"/>
  </cols>
  <sheetData>
    <row r="1" spans="1:4" ht="18" x14ac:dyDescent="0.4">
      <c r="A1" s="1" t="s">
        <v>75</v>
      </c>
    </row>
    <row r="2" spans="1:4" x14ac:dyDescent="0.35">
      <c r="A2" s="6" t="s">
        <v>76</v>
      </c>
    </row>
    <row r="3" spans="1:4" x14ac:dyDescent="0.35">
      <c r="A3" s="6" t="s">
        <v>77</v>
      </c>
    </row>
    <row r="5" spans="1:4" x14ac:dyDescent="0.35">
      <c r="A5" s="4" t="s">
        <v>3</v>
      </c>
      <c r="B5" s="4" t="s">
        <v>78</v>
      </c>
      <c r="C5" s="4" t="s">
        <v>79</v>
      </c>
      <c r="D5" s="4" t="s">
        <v>80</v>
      </c>
    </row>
    <row r="6" spans="1:4" x14ac:dyDescent="0.35">
      <c r="A6" s="6" t="s">
        <v>81</v>
      </c>
      <c r="B6" s="17">
        <f>IF(COUNTIFS(total_number_of_tourist!$A$6:$A$300,"Malaysia",total_number_of_tourist!$B$6:$B$300,$A6)=0,"",SUMIFS(INDEX(total_number_of_tourist!$C$6:$Q$300,0,MATCH(CTRS_Control!$C$18&amp;"",total_number_of_tourist!$C$5:$Q$5,0)),total_number_of_tourist!$A$6:$A$300,"Malaysia",total_number_of_tourist!$B$6:$B$300,$A6))</f>
        <v>9821.9</v>
      </c>
      <c r="C6" s="18"/>
      <c r="D6" s="19">
        <f t="shared" ref="D6:D19" si="0">IF(ISNUMBER(C6),C6,IF(ISNUMBER(B6),B6,""))</f>
        <v>9821.9</v>
      </c>
    </row>
    <row r="7" spans="1:4" x14ac:dyDescent="0.35">
      <c r="A7" s="6" t="s">
        <v>82</v>
      </c>
      <c r="B7" s="17">
        <f>IF(COUNTIFS(total_number_of_tourist!$A$6:$A$300,"Malaysia",total_number_of_tourist!$B$6:$B$300,$A7)=0,"",SUMIFS(INDEX(total_number_of_tourist!$C$6:$Q$300,0,MATCH(CTRS_Control!$C$18&amp;"",total_number_of_tourist!$C$5:$Q$5,0)),total_number_of_tourist!$A$6:$A$300,"Malaysia",total_number_of_tourist!$B$6:$B$300,$A7))</f>
        <v>7124.8450000000003</v>
      </c>
      <c r="C7" s="18"/>
      <c r="D7" s="19">
        <f t="shared" si="0"/>
        <v>7124.8450000000003</v>
      </c>
    </row>
    <row r="8" spans="1:4" x14ac:dyDescent="0.35">
      <c r="A8" s="6" t="s">
        <v>83</v>
      </c>
      <c r="B8" s="17">
        <f>IF(COUNTIFS(total_number_of_tourist!$A$6:$A$300,"Malaysia",total_number_of_tourist!$B$6:$B$300,$A8)=0,"",SUMIFS(INDEX(total_number_of_tourist!$C$6:$Q$300,0,MATCH(CTRS_Control!$C$18&amp;"",total_number_of_tourist!$C$5:$Q$5,0)),total_number_of_tourist!$A$6:$A$300,"Malaysia",total_number_of_tourist!$B$6:$B$300,$A8))</f>
        <v>6512.13</v>
      </c>
      <c r="C8" s="18"/>
      <c r="D8" s="19">
        <f t="shared" si="0"/>
        <v>6512.13</v>
      </c>
    </row>
    <row r="9" spans="1:4" x14ac:dyDescent="0.35">
      <c r="A9" s="6" t="s">
        <v>84</v>
      </c>
      <c r="B9" s="17">
        <f>IF(COUNTIFS(total_number_of_tourist!$A$6:$A$300,"Malaysia",total_number_of_tourist!$B$6:$B$300,$A9)=0,"",SUMIFS(INDEX(total_number_of_tourist!$C$6:$Q$300,0,MATCH(CTRS_Control!$C$18&amp;"",total_number_of_tourist!$C$5:$Q$5,0)),total_number_of_tourist!$A$6:$A$300,"Malaysia",total_number_of_tourist!$B$6:$B$300,$A9))</f>
        <v>7178.6905302820196</v>
      </c>
      <c r="C9" s="18"/>
      <c r="D9" s="19">
        <f t="shared" si="0"/>
        <v>7178.6905302820196</v>
      </c>
    </row>
    <row r="10" spans="1:4" x14ac:dyDescent="0.35">
      <c r="A10" s="6" t="s">
        <v>85</v>
      </c>
      <c r="B10" s="17">
        <f>IF(COUNTIFS(total_number_of_tourist!$A$6:$A$300,"Malaysia",total_number_of_tourist!$B$6:$B$300,$A10)=0,"",SUMIFS(INDEX(total_number_of_tourist!$C$6:$Q$300,0,MATCH(CTRS_Control!$C$18&amp;"",total_number_of_tourist!$C$5:$Q$5,0)),total_number_of_tourist!$A$6:$A$300,"Malaysia",total_number_of_tourist!$B$6:$B$300,$A10))</f>
        <v>6547.0230000000001</v>
      </c>
      <c r="C10" s="18"/>
      <c r="D10" s="19">
        <f t="shared" si="0"/>
        <v>6547.0230000000001</v>
      </c>
    </row>
    <row r="11" spans="1:4" x14ac:dyDescent="0.35">
      <c r="A11" s="6" t="s">
        <v>86</v>
      </c>
      <c r="B11" s="17">
        <f>IF(COUNTIFS(total_number_of_tourist!$A$6:$A$300,"Malaysia",total_number_of_tourist!$B$6:$B$300,$A11)=0,"",SUMIFS(INDEX(total_number_of_tourist!$C$6:$Q$300,0,MATCH(CTRS_Control!$C$18&amp;"",total_number_of_tourist!$C$5:$Q$5,0)),total_number_of_tourist!$A$6:$A$300,"Malaysia",total_number_of_tourist!$B$6:$B$300,$A11))</f>
        <v>11045.98</v>
      </c>
      <c r="C11" s="18"/>
      <c r="D11" s="19">
        <f t="shared" si="0"/>
        <v>11045.98</v>
      </c>
    </row>
    <row r="12" spans="1:4" x14ac:dyDescent="0.35">
      <c r="A12" s="6" t="s">
        <v>87</v>
      </c>
      <c r="B12" s="17">
        <f>IF(COUNTIFS(total_number_of_tourist!$A$6:$A$300,"Malaysia",total_number_of_tourist!$B$6:$B$300,$A12)=0,"",SUMIFS(INDEX(total_number_of_tourist!$C$6:$Q$300,0,MATCH(CTRS_Control!$C$18&amp;"",total_number_of_tourist!$C$5:$Q$5,0)),total_number_of_tourist!$A$6:$A$300,"Malaysia",total_number_of_tourist!$B$6:$B$300,$A12))</f>
        <v>10413.82</v>
      </c>
      <c r="C12" s="18"/>
      <c r="D12" s="19">
        <f t="shared" si="0"/>
        <v>10413.82</v>
      </c>
    </row>
    <row r="13" spans="1:4" x14ac:dyDescent="0.35">
      <c r="A13" s="6" t="s">
        <v>88</v>
      </c>
      <c r="B13" s="17">
        <f>IF(COUNTIFS(total_number_of_tourist!$A$6:$A$300,"Malaysia",total_number_of_tourist!$B$6:$B$300,$A13)=0,"",SUMIFS(INDEX(total_number_of_tourist!$C$6:$Q$300,0,MATCH(CTRS_Control!$C$18&amp;"",total_number_of_tourist!$C$5:$Q$5,0)),total_number_of_tourist!$A$6:$A$300,"Malaysia",total_number_of_tourist!$B$6:$B$300,$A13))</f>
        <v>1474.9359999999999</v>
      </c>
      <c r="C13" s="18"/>
      <c r="D13" s="19">
        <f t="shared" si="0"/>
        <v>1474.9359999999999</v>
      </c>
    </row>
    <row r="14" spans="1:4" x14ac:dyDescent="0.35">
      <c r="A14" s="6" t="s">
        <v>89</v>
      </c>
      <c r="B14" s="17">
        <f>IF(COUNTIFS(total_number_of_tourist!$A$6:$A$300,"Malaysia",total_number_of_tourist!$B$6:$B$300,$A14)=0,"",SUMIFS(INDEX(total_number_of_tourist!$C$6:$Q$300,0,MATCH(CTRS_Control!$C$18&amp;"",total_number_of_tourist!$C$5:$Q$5,0)),total_number_of_tourist!$A$6:$A$300,"Malaysia",total_number_of_tourist!$B$6:$B$300,$A14))</f>
        <v>5629.5439999999999</v>
      </c>
      <c r="C14" s="18"/>
      <c r="D14" s="19">
        <f t="shared" si="0"/>
        <v>5629.5439999999999</v>
      </c>
    </row>
    <row r="15" spans="1:4" x14ac:dyDescent="0.35">
      <c r="A15" s="6" t="s">
        <v>90</v>
      </c>
      <c r="B15" s="17">
        <f>IF(COUNTIFS(total_number_of_tourist!$A$6:$A$300,"Malaysia",total_number_of_tourist!$B$6:$B$300,$A15)=0,"",SUMIFS(INDEX(total_number_of_tourist!$C$6:$Q$300,0,MATCH(CTRS_Control!$C$18&amp;"",total_number_of_tourist!$C$5:$Q$5,0)),total_number_of_tourist!$A$6:$A$300,"Malaysia",total_number_of_tourist!$B$6:$B$300,$A15))</f>
        <v>7359.8890000000001</v>
      </c>
      <c r="C15" s="18"/>
      <c r="D15" s="19">
        <f t="shared" si="0"/>
        <v>7359.8890000000001</v>
      </c>
    </row>
    <row r="16" spans="1:4" x14ac:dyDescent="0.35">
      <c r="A16" s="6" t="s">
        <v>91</v>
      </c>
      <c r="B16" s="17">
        <f>IF(COUNTIFS(total_number_of_tourist!$A$6:$A$300,"Malaysia",total_number_of_tourist!$B$6:$B$300,$A16)=0,"",SUMIFS(INDEX(total_number_of_tourist!$C$6:$Q$300,0,MATCH(CTRS_Control!$C$18&amp;"",total_number_of_tourist!$C$5:$Q$5,0)),total_number_of_tourist!$A$6:$A$300,"Malaysia",total_number_of_tourist!$B$6:$B$300,$A16))</f>
        <v>6329.8940000000002</v>
      </c>
      <c r="C16" s="18"/>
      <c r="D16" s="19">
        <f t="shared" si="0"/>
        <v>6329.8940000000002</v>
      </c>
    </row>
    <row r="17" spans="1:4" x14ac:dyDescent="0.35">
      <c r="A17" s="6" t="s">
        <v>92</v>
      </c>
      <c r="B17" s="17">
        <f>IF(COUNTIFS(total_number_of_tourist!$A$6:$A$300,"Malaysia",total_number_of_tourist!$B$6:$B$300,$A17)=0,"",SUMIFS(INDEX(total_number_of_tourist!$C$6:$Q$300,0,MATCH(CTRS_Control!$C$18&amp;"",total_number_of_tourist!$C$5:$Q$5,0)),total_number_of_tourist!$A$6:$A$300,"Malaysia",total_number_of_tourist!$B$6:$B$300,$A17))</f>
        <v>10595.556</v>
      </c>
      <c r="C17" s="18"/>
      <c r="D17" s="19">
        <f t="shared" si="0"/>
        <v>10595.556</v>
      </c>
    </row>
    <row r="18" spans="1:4" x14ac:dyDescent="0.35">
      <c r="A18" s="6" t="s">
        <v>93</v>
      </c>
      <c r="B18" s="17">
        <f>IF(COUNTIFS(total_number_of_tourist!$A$6:$A$300,"Malaysia",total_number_of_tourist!$B$6:$B$300,$A18)=0,"",SUMIFS(INDEX(total_number_of_tourist!$C$6:$Q$300,0,MATCH(CTRS_Control!$C$18&amp;"",total_number_of_tourist!$C$5:$Q$5,0)),total_number_of_tourist!$A$6:$A$300,"Malaysia",total_number_of_tourist!$B$6:$B$300,$A18))</f>
        <v>5239.6419999999998</v>
      </c>
      <c r="C18" s="18"/>
      <c r="D18" s="19">
        <f t="shared" si="0"/>
        <v>5239.6419999999998</v>
      </c>
    </row>
    <row r="19" spans="1:4" x14ac:dyDescent="0.35">
      <c r="A19" s="6" t="s">
        <v>94</v>
      </c>
      <c r="B19" s="17">
        <f>IF(COUNTIFS(total_number_of_tourist!$A$6:$A$300,"Malaysia",total_number_of_tourist!$B$6:$B$300,$A19)=0,"",SUMIFS(INDEX(total_number_of_tourist!$C$6:$Q$300,0,MATCH(CTRS_Control!$C$18&amp;"",total_number_of_tourist!$C$5:$Q$5,0)),total_number_of_tourist!$A$6:$A$300,"Malaysia",total_number_of_tourist!$B$6:$B$300,$A19))</f>
        <v>266.78500000000003</v>
      </c>
      <c r="C19" s="18"/>
      <c r="D19" s="19">
        <f t="shared" si="0"/>
        <v>266.78500000000003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7F7F"/>
  </sheetPr>
  <dimension ref="A1:AH24"/>
  <sheetViews>
    <sheetView workbookViewId="0">
      <pane xSplit="1" ySplit="4" topLeftCell="B5" activePane="bottomRight" state="frozen"/>
      <selection pane="topRight"/>
      <selection pane="bottomLeft"/>
      <selection pane="bottomRight"/>
    </sheetView>
  </sheetViews>
  <sheetFormatPr defaultRowHeight="14.5" x14ac:dyDescent="0.35"/>
  <cols>
    <col min="1" max="1" width="18" customWidth="1"/>
    <col min="2" max="4" width="17" customWidth="1"/>
    <col min="5" max="31" width="13" customWidth="1"/>
    <col min="32" max="32" width="80" customWidth="1"/>
    <col min="33" max="34" width="13" customWidth="1"/>
  </cols>
  <sheetData>
    <row r="1" spans="1:34" ht="18" x14ac:dyDescent="0.4">
      <c r="A1" s="1" t="s">
        <v>95</v>
      </c>
    </row>
    <row r="2" spans="1:34" x14ac:dyDescent="0.35">
      <c r="A2" s="2" t="str">
        <f>"X method in use: "&amp;CTRS_Control!C8&amp;IF(CTRS_Control!C8="SHARE_ONLY","  (PROVISIONAL — add tourist counts in CTRS_Inputs)","")</f>
        <v>X method in use: TOURISTS</v>
      </c>
    </row>
    <row r="4" spans="1:34" ht="54" customHeight="1" x14ac:dyDescent="0.35">
      <c r="A4" s="4" t="s">
        <v>3</v>
      </c>
      <c r="B4" s="4" t="s">
        <v>96</v>
      </c>
      <c r="C4" s="4" t="s">
        <v>97</v>
      </c>
      <c r="D4" s="4" t="s">
        <v>98</v>
      </c>
      <c r="E4" s="4" t="s">
        <v>99</v>
      </c>
      <c r="F4" s="4" t="s">
        <v>100</v>
      </c>
      <c r="G4" s="4" t="s">
        <v>101</v>
      </c>
      <c r="H4" s="4" t="s">
        <v>102</v>
      </c>
      <c r="I4" s="4" t="s">
        <v>103</v>
      </c>
      <c r="J4" s="4" t="s">
        <v>4</v>
      </c>
      <c r="K4" s="4" t="s">
        <v>104</v>
      </c>
      <c r="L4" s="4" t="s">
        <v>105</v>
      </c>
      <c r="M4" s="4" t="s">
        <v>106</v>
      </c>
      <c r="N4" s="4" t="s">
        <v>107</v>
      </c>
      <c r="O4" s="4" t="s">
        <v>108</v>
      </c>
      <c r="P4" s="4" t="s">
        <v>109</v>
      </c>
      <c r="Q4" s="4" t="s">
        <v>110</v>
      </c>
      <c r="R4" s="4" t="s">
        <v>111</v>
      </c>
      <c r="S4" s="4" t="s">
        <v>112</v>
      </c>
      <c r="T4" s="4"/>
      <c r="U4" s="4" t="s">
        <v>113</v>
      </c>
      <c r="V4" s="4" t="s">
        <v>114</v>
      </c>
      <c r="W4" s="4" t="s">
        <v>115</v>
      </c>
      <c r="X4" s="4" t="s">
        <v>116</v>
      </c>
      <c r="Y4" s="4" t="s">
        <v>117</v>
      </c>
      <c r="Z4" s="4" t="s">
        <v>5</v>
      </c>
      <c r="AA4" s="4" t="s">
        <v>6</v>
      </c>
      <c r="AB4" s="4" t="s">
        <v>7</v>
      </c>
      <c r="AC4" s="4" t="s">
        <v>8</v>
      </c>
      <c r="AD4" s="4" t="s">
        <v>9</v>
      </c>
      <c r="AE4" s="4" t="s">
        <v>118</v>
      </c>
      <c r="AF4" s="4" t="s">
        <v>119</v>
      </c>
      <c r="AG4" s="4" t="s">
        <v>120</v>
      </c>
      <c r="AH4" s="4" t="s">
        <v>121</v>
      </c>
    </row>
    <row r="5" spans="1:34" x14ac:dyDescent="0.35">
      <c r="A5" s="11" t="s">
        <v>81</v>
      </c>
      <c r="B5" s="13" t="s">
        <v>81</v>
      </c>
      <c r="C5" s="13" t="s">
        <v>81</v>
      </c>
      <c r="D5" s="13" t="s">
        <v>81</v>
      </c>
      <c r="E5" s="20">
        <f>SUMPRODUCT((hotel_location_2025!$A$2:$A$110=$B5)*(hotel_location_2025!$B$2:$B$110="Pantai/ Beach")*hotel_location_2025!$C$2:$C$110)</f>
        <v>67</v>
      </c>
      <c r="F5" s="20">
        <f>SUMPRODUCT((hotel_location_2025!$A$2:$A$110=$B5)*(hotel_location_2025!$B$2:$B$110="Jumlah/ Total")*hotel_location_2025!$C$2:$C$110)</f>
        <v>496</v>
      </c>
      <c r="G5" s="20">
        <f>SUMPRODUCT((hotel_location_2025!$A$2:$A$110=$B5)*(hotel_location_2025!$B$2:$B$110&lt;&gt;"Jumlah/ Total")*hotel_location_2025!$C$2:$C$110)</f>
        <v>475</v>
      </c>
      <c r="H5" s="20">
        <f>SUMPRODUCT((hotel_location_2025!$A$2:$A$110=$B5)*(hotel_location_2025!$B$2:$B$110="Pantai/ Beach")*hotel_location_2025!$D$2:$D$110)</f>
        <v>4476</v>
      </c>
      <c r="I5" s="20">
        <f>SUMPRODUCT((hotel_location_2025!$A$2:$A$110=$B5)*(hotel_location_2025!$B$2:$B$110="Jumlah/ Total")*hotel_location_2025!$D$2:$D$110)</f>
        <v>33768</v>
      </c>
      <c r="J5" s="7">
        <f>IF(U5=0,"",IFERROR(IF(CTRS_Control!$C$5="ROOMS",H5/I5,E5/IF(CTRS_Control!$C$6="SUM_CATEGORIES",G5,F5)),""))</f>
        <v>0.13508064516129031</v>
      </c>
      <c r="K5" s="17">
        <f>IF(ISNUMBER(INDEX(CTRS_Inputs!$D$6:$D$19,MATCH($A5,CTRS_Inputs!$A$6:$A$19,0))),INDEX(CTRS_Inputs!$D$6:$D$19,MATCH($A5,CTRS_Inputs!$A$6:$A$19,0)),"")</f>
        <v>9821.9</v>
      </c>
      <c r="L5" s="17">
        <f t="shared" ref="L5:L18" si="0">IF(AND(ISNUMBER(J5),ISNUMBER(K5)),J5*K5,"")</f>
        <v>1326.7485887096773</v>
      </c>
      <c r="M5" s="21">
        <f>IF(AG5=0,"",IF(CTRS_Control!$C$8="TOURISTS",IF(ISNUMBER(L5),L5,""),J5))</f>
        <v>1326.7485887096773</v>
      </c>
      <c r="N5" s="22">
        <f>COUNTIF(MMWQI!$A$2:$A$400,$C5)</f>
        <v>29</v>
      </c>
      <c r="O5" s="23">
        <f>IF(N5=0,"",AVERAGEIFS(INDEX(MMWQI!$E$2:$I$400,0,MATCH(VALUE(CTRS_Control!$C$10),MMWQI!$E$1:$I$1,0)),MMWQI!$A$2:$A$400,$C5))</f>
        <v>82.379310344827587</v>
      </c>
      <c r="P5" s="23">
        <f>IF(N5=0,"",_xlfn.MINIFS(INDEX(MMWQI!$E$2:$I$400,0,MATCH(VALUE(CTRS_Control!$C$10),MMWQI!$E$1:$I$1,0)),MMWQI!$A$2:$A$400,$C5))</f>
        <v>52</v>
      </c>
      <c r="Q5" s="23">
        <f>IF(N5=0,"",_xlfn.MAXIFS(INDEX(MMWQI!$E$2:$I$400,0,MATCH(VALUE(CTRS_Control!$C$10),MMWQI!$E$1:$I$1,0)),MMWQI!$A$2:$A$400,$C5))</f>
        <v>96</v>
      </c>
      <c r="R5" s="22">
        <f>SUMIF(LCC!$B$2:$B$200,$D5,LCC!$D$2:$D$200)</f>
        <v>84</v>
      </c>
      <c r="S5" s="24">
        <f>IF(R5&gt;0,IF(CTRS_Control!$C$11="SITES",SUMPRODUCT((LCC!$B$2:$B$200=$D5)*LCC!$D$2:$D$200*LCC!$F$2:$F$200)/R5,AVERAGEIFS(LCC!$F$2:$F$200,LCC!$B$2:$B$200,$D5)),IF(AND(U5=1,V5=1),IF(CTRS_Control!$C$19="ZERO",0,IF(CTRS_Control!$C$19="NO_STRESS",100,"")),""))</f>
        <v>54.880238095238091</v>
      </c>
      <c r="T5" s="23"/>
      <c r="U5" s="22">
        <f>IF(COUNTIF(hotel_location_2025!$A$2:$A$110,$B5)&gt;0,1,0)</f>
        <v>1</v>
      </c>
      <c r="V5" s="22">
        <f t="shared" ref="V5:V18" si="1">IF(N5&gt;0,1,0)</f>
        <v>1</v>
      </c>
      <c r="W5" s="22">
        <f t="shared" ref="W5:W18" si="2">IF(R5&gt;0,1,0)</f>
        <v>1</v>
      </c>
      <c r="X5" s="22">
        <f t="shared" ref="X5:X18" si="3">IF(ISNUMBER(K5),1,0)</f>
        <v>1</v>
      </c>
      <c r="Y5" s="22">
        <f t="shared" ref="Y5:Y18" si="4">IF(AND(AG5=1,ISNUMBER(M5)),1,0)</f>
        <v>1</v>
      </c>
      <c r="Z5" s="8">
        <f>IF(Y5=1,IFERROR(IF(CTRS_Control!$C$9="MINMAX",(M5-MIN($M$5:$M$18))/(MAX($M$5:$M$18)-MIN($M$5:$M$18)),M5/MAX($M$5:$M$18)),0),"")</f>
        <v>0.42597662653454393</v>
      </c>
      <c r="AA5" s="8">
        <f>IF(Y5=1,IF(AND(R5=0,CTRS_Control!$C$19="MMWQI_ONLY"),1-O5/100,CTRS_Control!$C$15*(1-O5/100)+CTRS_Control!$C$16*(1-S5/100)),"")</f>
        <v>0.31370225779967165</v>
      </c>
      <c r="AB5" s="8">
        <f>IF(Y5=1,IF(ISNUMBER(CTRS_Z!$H5),CTRS_Z!$H5,0),"")</f>
        <v>0.17832115844592411</v>
      </c>
      <c r="AC5" s="8">
        <f>IF(Y5=1,CTRS_Control!$C$12*Z5+CTRS_Control!$C$13*AA5-CTRS_Control!$C$14*AB5,"")</f>
        <v>0.18711924196276383</v>
      </c>
      <c r="AD5" s="8">
        <f>IF(Y5=1,(AC5+CTRS_Control!$C$14)/(CTRS_Control!$C$12+CTRS_Control!$C$13+CTRS_Control!$C$14),"")</f>
        <v>0.52045257529609712</v>
      </c>
      <c r="AE5" s="22">
        <f>IF(Y5=1,RANK(AC5,$AC$5:$AC$18,0)+COUNTIF($AC$5:AC5,AC5)-1,"")</f>
        <v>8</v>
      </c>
      <c r="AF5" s="6" t="str">
        <f>IF(U5=0,"No hotel data",IF(V5=0,"No MMWQI stations",IF(AND(W5=0,CTRS_Control!$C$19="EXCLUDE"),"No LCC sites",IF(AND(CTRS_Control!$C$8="TOURISTS",X5=0),"No tourist count",TRIM(IF(AH5=1,"No LCC data → substituted ("&amp;CTRS_Control!$C$19&amp;"). ","")&amp;IF(F5&lt;&gt;G5,"Hotels: reported total "&amp;F5&amp;" ≠ sum of categories "&amp;G5&amp;". ","")&amp;IF(I5&lt;&gt;SUMPRODUCT((hotel_location_2025!$A$2:$A$110=$B5)*(hotel_location_2025!$B$2:$B$110&lt;&gt;"Jumlah/ Total")*hotel_location_2025!$D$2:$D$110),"Rooms: reported total "&amp;I5&amp;" ≠ sum of categories "&amp;SUMPRODUCT((hotel_location_2025!$A$2:$A$110=$B5)*(hotel_location_2025!$B$2:$B$110&lt;&gt;"Jumlah/ Total")*hotel_location_2025!$D$2:$D$110),""))))))</f>
        <v>Hotels: reported total 496 ≠ sum of categories 475.</v>
      </c>
      <c r="AG5" s="22">
        <f>U5*V5*IF(OR(W5=1,CTRS_Control!$C$19&lt;&gt;"EXCLUDE"),1,0)</f>
        <v>1</v>
      </c>
      <c r="AH5" s="22">
        <f t="shared" ref="AH5:AH18" si="5">IF(AND(Y5=1,R5=0),1,0)</f>
        <v>0</v>
      </c>
    </row>
    <row r="6" spans="1:34" x14ac:dyDescent="0.35">
      <c r="A6" s="11" t="s">
        <v>82</v>
      </c>
      <c r="B6" s="13" t="s">
        <v>82</v>
      </c>
      <c r="C6" s="13" t="s">
        <v>82</v>
      </c>
      <c r="D6" s="13" t="s">
        <v>82</v>
      </c>
      <c r="E6" s="20">
        <f>SUMPRODUCT((hotel_location_2025!$A$2:$A$110=$B6)*(hotel_location_2025!$B$2:$B$110="Pantai/ Beach")*hotel_location_2025!$C$2:$C$110)</f>
        <v>71</v>
      </c>
      <c r="F6" s="20">
        <f>SUMPRODUCT((hotel_location_2025!$A$2:$A$110=$B6)*(hotel_location_2025!$B$2:$B$110="Jumlah/ Total")*hotel_location_2025!$C$2:$C$110)</f>
        <v>179</v>
      </c>
      <c r="G6" s="20">
        <f>SUMPRODUCT((hotel_location_2025!$A$2:$A$110=$B6)*(hotel_location_2025!$B$2:$B$110&lt;&gt;"Jumlah/ Total")*hotel_location_2025!$C$2:$C$110)</f>
        <v>179</v>
      </c>
      <c r="H6" s="20">
        <f>SUMPRODUCT((hotel_location_2025!$A$2:$A$110=$B6)*(hotel_location_2025!$B$2:$B$110="Pantai/ Beach")*hotel_location_2025!$D$2:$D$110)</f>
        <v>5256</v>
      </c>
      <c r="I6" s="20">
        <f>SUMPRODUCT((hotel_location_2025!$A$2:$A$110=$B6)*(hotel_location_2025!$B$2:$B$110="Jumlah/ Total")*hotel_location_2025!$D$2:$D$110)</f>
        <v>13539</v>
      </c>
      <c r="J6" s="7">
        <f>IF(U6=0,"",IFERROR(IF(CTRS_Control!$C$5="ROOMS",H6/I6,E6/IF(CTRS_Control!$C$6="SUM_CATEGORIES",G6,F6)),""))</f>
        <v>0.39664804469273746</v>
      </c>
      <c r="K6" s="17">
        <f>IF(ISNUMBER(INDEX(CTRS_Inputs!$D$6:$D$19,MATCH($A6,CTRS_Inputs!$A$6:$A$19,0))),INDEX(CTRS_Inputs!$D$6:$D$19,MATCH($A6,CTRS_Inputs!$A$6:$A$19,0)),"")</f>
        <v>7124.8450000000003</v>
      </c>
      <c r="L6" s="17">
        <f t="shared" si="0"/>
        <v>2826.0558379888271</v>
      </c>
      <c r="M6" s="21">
        <f>IF(AG6=0,"",IF(CTRS_Control!$C$8="TOURISTS",IF(ISNUMBER(L6),L6,""),J6))</f>
        <v>2826.0558379888271</v>
      </c>
      <c r="N6" s="22">
        <f>COUNTIF(MMWQI!$A$2:$A$400,$C6)</f>
        <v>9</v>
      </c>
      <c r="O6" s="23">
        <f>IF(N6=0,"",AVERAGEIFS(INDEX(MMWQI!$E$2:$I$400,0,MATCH(VALUE(CTRS_Control!$C$10),MMWQI!$E$1:$I$1,0)),MMWQI!$A$2:$A$400,$C6))</f>
        <v>94.222222222222229</v>
      </c>
      <c r="P6" s="23">
        <f>IF(N6=0,"",_xlfn.MINIFS(INDEX(MMWQI!$E$2:$I$400,0,MATCH(VALUE(CTRS_Control!$C$10),MMWQI!$E$1:$I$1,0)),MMWQI!$A$2:$A$400,$C6))</f>
        <v>88</v>
      </c>
      <c r="Q6" s="23">
        <f>IF(N6=0,"",_xlfn.MAXIFS(INDEX(MMWQI!$E$2:$I$400,0,MATCH(VALUE(CTRS_Control!$C$10),MMWQI!$E$1:$I$1,0)),MMWQI!$A$2:$A$400,$C6))</f>
        <v>96</v>
      </c>
      <c r="R6" s="22">
        <f>SUMIF(LCC!$B$2:$B$200,$D6,LCC!$D$2:$D$200)</f>
        <v>6</v>
      </c>
      <c r="S6" s="24">
        <f>IF(R6&gt;0,IF(CTRS_Control!$C$11="SITES",SUMPRODUCT((LCC!$B$2:$B$200=$D6)*LCC!$D$2:$D$200*LCC!$F$2:$F$200)/R6,AVERAGEIFS(LCC!$F$2:$F$200,LCC!$B$2:$B$200,$D6)),IF(AND(U6=1,V6=1),IF(CTRS_Control!$C$19="ZERO",0,IF(CTRS_Control!$C$19="NO_STRESS",100,"")),""))</f>
        <v>58.858333333333341</v>
      </c>
      <c r="T6" s="23"/>
      <c r="U6" s="22">
        <f>IF(COUNTIF(hotel_location_2025!$A$2:$A$110,$B6)&gt;0,1,0)</f>
        <v>1</v>
      </c>
      <c r="V6" s="22">
        <f t="shared" si="1"/>
        <v>1</v>
      </c>
      <c r="W6" s="22">
        <f t="shared" si="2"/>
        <v>1</v>
      </c>
      <c r="X6" s="22">
        <f t="shared" si="3"/>
        <v>1</v>
      </c>
      <c r="Y6" s="22">
        <f t="shared" si="4"/>
        <v>1</v>
      </c>
      <c r="Z6" s="8">
        <f>IF(Y6=1,IFERROR(IF(CTRS_Control!$C$9="MINMAX",(M6-MIN($M$5:$M$18))/(MAX($M$5:$M$18)-MIN($M$5:$M$18)),M6/MAX($M$5:$M$18)),0),"")</f>
        <v>0.90735633149270334</v>
      </c>
      <c r="AA6" s="8">
        <f>IF(Y6=1,IF(AND(R6=0,CTRS_Control!$C$19="MMWQI_ONLY"),1-O6/100,CTRS_Control!$C$15*(1-O6/100)+CTRS_Control!$C$16*(1-S6/100)),"")</f>
        <v>0.23459722222222212</v>
      </c>
      <c r="AB6" s="8">
        <f>IF(Y6=1,IF(ISNUMBER(CTRS_Z!$H6),CTRS_Z!$H6,0),"")</f>
        <v>2.9259081815590175E-2</v>
      </c>
      <c r="AC6" s="8">
        <f>IF(Y6=1,CTRS_Control!$C$12*Z6+CTRS_Control!$C$13*AA6-CTRS_Control!$C$14*AB6,"")</f>
        <v>0.37089815729977843</v>
      </c>
      <c r="AD6" s="8">
        <f>IF(Y6=1,(AC6+CTRS_Control!$C$14)/(CTRS_Control!$C$12+CTRS_Control!$C$13+CTRS_Control!$C$14),"")</f>
        <v>0.70423149063311175</v>
      </c>
      <c r="AE6" s="22">
        <f>IF(Y6=1,RANK(AC6,$AC$5:$AC$18,0)+COUNTIF($AC$5:AC6,AC6)-1,"")</f>
        <v>2</v>
      </c>
      <c r="AF6" s="6" t="str">
        <f>IF(U6=0,"No hotel data",IF(V6=0,"No MMWQI stations",IF(AND(W6=0,CTRS_Control!$C$19="EXCLUDE"),"No LCC sites",IF(AND(CTRS_Control!$C$8="TOURISTS",X6=0),"No tourist count",TRIM(IF(AH6=1,"No LCC data → substituted ("&amp;CTRS_Control!$C$19&amp;"). ","")&amp;IF(F6&lt;&gt;G6,"Hotels: reported total "&amp;F6&amp;" ≠ sum of categories "&amp;G6&amp;". ","")&amp;IF(I6&lt;&gt;SUMPRODUCT((hotel_location_2025!$A$2:$A$110=$B6)*(hotel_location_2025!$B$2:$B$110&lt;&gt;"Jumlah/ Total")*hotel_location_2025!$D$2:$D$110),"Rooms: reported total "&amp;I6&amp;" ≠ sum of categories "&amp;SUMPRODUCT((hotel_location_2025!$A$2:$A$110=$B6)*(hotel_location_2025!$B$2:$B$110&lt;&gt;"Jumlah/ Total")*hotel_location_2025!$D$2:$D$110),""))))))</f>
        <v/>
      </c>
      <c r="AG6" s="22">
        <f>U6*V6*IF(OR(W6=1,CTRS_Control!$C$19&lt;&gt;"EXCLUDE"),1,0)</f>
        <v>1</v>
      </c>
      <c r="AH6" s="22">
        <f t="shared" si="5"/>
        <v>0</v>
      </c>
    </row>
    <row r="7" spans="1:34" x14ac:dyDescent="0.35">
      <c r="A7" s="11" t="s">
        <v>83</v>
      </c>
      <c r="B7" s="13" t="s">
        <v>83</v>
      </c>
      <c r="C7" s="13" t="s">
        <v>83</v>
      </c>
      <c r="D7" s="13" t="s">
        <v>83</v>
      </c>
      <c r="E7" s="20">
        <f>SUMPRODUCT((hotel_location_2025!$A$2:$A$110=$B7)*(hotel_location_2025!$B$2:$B$110="Pantai/ Beach")*hotel_location_2025!$C$2:$C$110)</f>
        <v>16</v>
      </c>
      <c r="F7" s="20">
        <f>SUMPRODUCT((hotel_location_2025!$A$2:$A$110=$B7)*(hotel_location_2025!$B$2:$B$110="Jumlah/ Total")*hotel_location_2025!$C$2:$C$110)</f>
        <v>91</v>
      </c>
      <c r="G7" s="20">
        <f>SUMPRODUCT((hotel_location_2025!$A$2:$A$110=$B7)*(hotel_location_2025!$B$2:$B$110&lt;&gt;"Jumlah/ Total")*hotel_location_2025!$C$2:$C$110)</f>
        <v>91</v>
      </c>
      <c r="H7" s="20">
        <f>SUMPRODUCT((hotel_location_2025!$A$2:$A$110=$B7)*(hotel_location_2025!$B$2:$B$110="Pantai/ Beach")*hotel_location_2025!$D$2:$D$110)</f>
        <v>679</v>
      </c>
      <c r="I7" s="20">
        <f>SUMPRODUCT((hotel_location_2025!$A$2:$A$110=$B7)*(hotel_location_2025!$B$2:$B$110="Jumlah/ Total")*hotel_location_2025!$D$2:$D$110)</f>
        <v>4360</v>
      </c>
      <c r="J7" s="7">
        <f>IF(U7=0,"",IFERROR(IF(CTRS_Control!$C$5="ROOMS",H7/I7,E7/IF(CTRS_Control!$C$6="SUM_CATEGORIES",G7,F7)),""))</f>
        <v>0.17582417582417584</v>
      </c>
      <c r="K7" s="17">
        <f>IF(ISNUMBER(INDEX(CTRS_Inputs!$D$6:$D$19,MATCH($A7,CTRS_Inputs!$A$6:$A$19,0))),INDEX(CTRS_Inputs!$D$6:$D$19,MATCH($A7,CTRS_Inputs!$A$6:$A$19,0)),"")</f>
        <v>6512.13</v>
      </c>
      <c r="L7" s="17">
        <f t="shared" si="0"/>
        <v>1144.9898901098902</v>
      </c>
      <c r="M7" s="21">
        <f>IF(AG7=0,"",IF(CTRS_Control!$C$8="TOURISTS",IF(ISNUMBER(L7),L7,""),J7))</f>
        <v>1144.9898901098902</v>
      </c>
      <c r="N7" s="22">
        <f>COUNTIF(MMWQI!$A$2:$A$400,$C7)</f>
        <v>6</v>
      </c>
      <c r="O7" s="23">
        <f>IF(N7=0,"",AVERAGEIFS(INDEX(MMWQI!$E$2:$I$400,0,MATCH(VALUE(CTRS_Control!$C$10),MMWQI!$E$1:$I$1,0)),MMWQI!$A$2:$A$400,$C7))</f>
        <v>94.5</v>
      </c>
      <c r="P7" s="23">
        <f>IF(N7=0,"",_xlfn.MINIFS(INDEX(MMWQI!$E$2:$I$400,0,MATCH(VALUE(CTRS_Control!$C$10),MMWQI!$E$1:$I$1,0)),MMWQI!$A$2:$A$400,$C7))</f>
        <v>93</v>
      </c>
      <c r="Q7" s="23">
        <f>IF(N7=0,"",_xlfn.MAXIFS(INDEX(MMWQI!$E$2:$I$400,0,MATCH(VALUE(CTRS_Control!$C$10),MMWQI!$E$1:$I$1,0)),MMWQI!$A$2:$A$400,$C7))</f>
        <v>95</v>
      </c>
      <c r="R7" s="22">
        <f>SUMIF(LCC!$B$2:$B$200,$D7,LCC!$D$2:$D$200)</f>
        <v>0</v>
      </c>
      <c r="S7" s="24">
        <f>IF(R7&gt;0,IF(CTRS_Control!$C$11="SITES",SUMPRODUCT((LCC!$B$2:$B$200=$D7)*LCC!$D$2:$D$200*LCC!$F$2:$F$200)/R7,AVERAGEIFS(LCC!$F$2:$F$200,LCC!$B$2:$B$200,$D7)),IF(AND(U7=1,V7=1),IF(CTRS_Control!$C$19="ZERO",0,IF(CTRS_Control!$C$19="NO_STRESS",100,"")),""))</f>
        <v>0</v>
      </c>
      <c r="T7" s="23"/>
      <c r="U7" s="22">
        <f>IF(COUNTIF(hotel_location_2025!$A$2:$A$110,$B7)&gt;0,1,0)</f>
        <v>1</v>
      </c>
      <c r="V7" s="22">
        <f t="shared" si="1"/>
        <v>1</v>
      </c>
      <c r="W7" s="22">
        <f t="shared" si="2"/>
        <v>0</v>
      </c>
      <c r="X7" s="22">
        <f t="shared" si="3"/>
        <v>1</v>
      </c>
      <c r="Y7" s="22">
        <f t="shared" si="4"/>
        <v>1</v>
      </c>
      <c r="Z7" s="8">
        <f>IF(Y7=1,IFERROR(IF(CTRS_Control!$C$9="MINMAX",(M7-MIN($M$5:$M$18))/(MAX($M$5:$M$18)-MIN($M$5:$M$18)),M7/MAX($M$5:$M$18)),0),"")</f>
        <v>0.36761970953330148</v>
      </c>
      <c r="AA7" s="8">
        <f>IF(Y7=1,IF(AND(R7=0,CTRS_Control!$C$19="MMWQI_ONLY"),1-O7/100,CTRS_Control!$C$15*(1-O7/100)+CTRS_Control!$C$16*(1-S7/100)),"")</f>
        <v>0.52750000000000008</v>
      </c>
      <c r="AB7" s="8">
        <f>IF(Y7=1,IF(ISNUMBER(CTRS_Z!$H7),CTRS_Z!$H7,0),"")</f>
        <v>0</v>
      </c>
      <c r="AC7" s="8">
        <f>IF(Y7=1,CTRS_Control!$C$12*Z7+CTRS_Control!$C$13*AA7-CTRS_Control!$C$14*AB7,"")</f>
        <v>0.29837323651110048</v>
      </c>
      <c r="AD7" s="8">
        <f>IF(Y7=1,(AC7+CTRS_Control!$C$14)/(CTRS_Control!$C$12+CTRS_Control!$C$13+CTRS_Control!$C$14),"")</f>
        <v>0.63170656984443374</v>
      </c>
      <c r="AE7" s="22">
        <f>IF(Y7=1,RANK(AC7,$AC$5:$AC$18,0)+COUNTIF($AC$5:AC7,AC7)-1,"")</f>
        <v>4</v>
      </c>
      <c r="AF7" s="6" t="str">
        <f>IF(U7=0,"No hotel data",IF(V7=0,"No MMWQI stations",IF(AND(W7=0,CTRS_Control!$C$19="EXCLUDE"),"No LCC sites",IF(AND(CTRS_Control!$C$8="TOURISTS",X7=0),"No tourist count",TRIM(IF(AH7=1,"No LCC data → substituted ("&amp;CTRS_Control!$C$19&amp;"). ","")&amp;IF(F7&lt;&gt;G7,"Hotels: reported total "&amp;F7&amp;" ≠ sum of categories "&amp;G7&amp;". ","")&amp;IF(I7&lt;&gt;SUMPRODUCT((hotel_location_2025!$A$2:$A$110=$B7)*(hotel_location_2025!$B$2:$B$110&lt;&gt;"Jumlah/ Total")*hotel_location_2025!$D$2:$D$110),"Rooms: reported total "&amp;I7&amp;" ≠ sum of categories "&amp;SUMPRODUCT((hotel_location_2025!$A$2:$A$110=$B7)*(hotel_location_2025!$B$2:$B$110&lt;&gt;"Jumlah/ Total")*hotel_location_2025!$D$2:$D$110),""))))))</f>
        <v>No LCC data → substituted (ZERO).</v>
      </c>
      <c r="AG7" s="22">
        <f>U7*V7*IF(OR(W7=1,CTRS_Control!$C$19&lt;&gt;"EXCLUDE"),1,0)</f>
        <v>1</v>
      </c>
      <c r="AH7" s="22">
        <f t="shared" si="5"/>
        <v>1</v>
      </c>
    </row>
    <row r="8" spans="1:34" x14ac:dyDescent="0.35">
      <c r="A8" s="11" t="s">
        <v>84</v>
      </c>
      <c r="B8" s="13" t="s">
        <v>84</v>
      </c>
      <c r="C8" s="13" t="s">
        <v>84</v>
      </c>
      <c r="D8" s="13" t="s">
        <v>122</v>
      </c>
      <c r="E8" s="20">
        <f>SUMPRODUCT((hotel_location_2025!$A$2:$A$110=$B8)*(hotel_location_2025!$B$2:$B$110="Pantai/ Beach")*hotel_location_2025!$C$2:$C$110)</f>
        <v>23</v>
      </c>
      <c r="F8" s="20">
        <f>SUMPRODUCT((hotel_location_2025!$A$2:$A$110=$B8)*(hotel_location_2025!$B$2:$B$110="Jumlah/ Total")*hotel_location_2025!$C$2:$C$110)</f>
        <v>181</v>
      </c>
      <c r="G8" s="20">
        <f>SUMPRODUCT((hotel_location_2025!$A$2:$A$110=$B8)*(hotel_location_2025!$B$2:$B$110&lt;&gt;"Jumlah/ Total")*hotel_location_2025!$C$2:$C$110)</f>
        <v>181</v>
      </c>
      <c r="H8" s="20">
        <f>SUMPRODUCT((hotel_location_2025!$A$2:$A$110=$B8)*(hotel_location_2025!$B$2:$B$110="Pantai/ Beach")*hotel_location_2025!$D$2:$D$110)</f>
        <v>3616</v>
      </c>
      <c r="I8" s="20">
        <f>SUMPRODUCT((hotel_location_2025!$A$2:$A$110=$B8)*(hotel_location_2025!$B$2:$B$110="Jumlah/ Total")*hotel_location_2025!$D$2:$D$110)</f>
        <v>20550</v>
      </c>
      <c r="J8" s="7">
        <f>IF(U8=0,"",IFERROR(IF(CTRS_Control!$C$5="ROOMS",H8/I8,E8/IF(CTRS_Control!$C$6="SUM_CATEGORIES",G8,F8)),""))</f>
        <v>0.1270718232044199</v>
      </c>
      <c r="K8" s="17">
        <f>IF(ISNUMBER(INDEX(CTRS_Inputs!$D$6:$D$19,MATCH($A8,CTRS_Inputs!$A$6:$A$19,0))),INDEX(CTRS_Inputs!$D$6:$D$19,MATCH($A8,CTRS_Inputs!$A$6:$A$19,0)),"")</f>
        <v>7178.6905302820196</v>
      </c>
      <c r="L8" s="17">
        <f t="shared" si="0"/>
        <v>912.20929390324011</v>
      </c>
      <c r="M8" s="21">
        <f>IF(AG8=0,"",IF(CTRS_Control!$C$8="TOURISTS",IF(ISNUMBER(L8),L8,""),J8))</f>
        <v>912.20929390324011</v>
      </c>
      <c r="N8" s="22">
        <f>COUNTIF(MMWQI!$A$2:$A$400,$C8)</f>
        <v>9</v>
      </c>
      <c r="O8" s="23">
        <f>IF(N8=0,"",AVERAGEIFS(INDEX(MMWQI!$E$2:$I$400,0,MATCH(VALUE(CTRS_Control!$C$10),MMWQI!$E$1:$I$1,0)),MMWQI!$A$2:$A$400,$C8))</f>
        <v>80.888888888888886</v>
      </c>
      <c r="P8" s="23">
        <f>IF(N8=0,"",_xlfn.MINIFS(INDEX(MMWQI!$E$2:$I$400,0,MATCH(VALUE(CTRS_Control!$C$10),MMWQI!$E$1:$I$1,0)),MMWQI!$A$2:$A$400,$C8))</f>
        <v>58</v>
      </c>
      <c r="Q8" s="23">
        <f>IF(N8=0,"",_xlfn.MAXIFS(INDEX(MMWQI!$E$2:$I$400,0,MATCH(VALUE(CTRS_Control!$C$10),MMWQI!$E$1:$I$1,0)),MMWQI!$A$2:$A$400,$C8))</f>
        <v>91</v>
      </c>
      <c r="R8" s="22">
        <f>SUMIF(LCC!$B$2:$B$200,$D8,LCC!$D$2:$D$200)</f>
        <v>5</v>
      </c>
      <c r="S8" s="24">
        <f>IF(R8&gt;0,IF(CTRS_Control!$C$11="SITES",SUMPRODUCT((LCC!$B$2:$B$200=$D8)*LCC!$D$2:$D$200*LCC!$F$2:$F$200)/R8,AVERAGEIFS(LCC!$F$2:$F$200,LCC!$B$2:$B$200,$D8)),IF(AND(U8=1,V8=1),IF(CTRS_Control!$C$19="ZERO",0,IF(CTRS_Control!$C$19="NO_STRESS",100,"")),""))</f>
        <v>30.130000000000003</v>
      </c>
      <c r="T8" s="23"/>
      <c r="U8" s="22">
        <f>IF(COUNTIF(hotel_location_2025!$A$2:$A$110,$B8)&gt;0,1,0)</f>
        <v>1</v>
      </c>
      <c r="V8" s="22">
        <f t="shared" si="1"/>
        <v>1</v>
      </c>
      <c r="W8" s="22">
        <f t="shared" si="2"/>
        <v>1</v>
      </c>
      <c r="X8" s="22">
        <f t="shared" si="3"/>
        <v>1</v>
      </c>
      <c r="Y8" s="22">
        <f t="shared" si="4"/>
        <v>1</v>
      </c>
      <c r="Z8" s="8">
        <f>IF(Y8=1,IFERROR(IF(CTRS_Control!$C$9="MINMAX",(M8-MIN($M$5:$M$18))/(MAX($M$5:$M$18)-MIN($M$5:$M$18)),M8/MAX($M$5:$M$18)),0),"")</f>
        <v>0.29288128965584348</v>
      </c>
      <c r="AA8" s="8">
        <f>IF(Y8=1,IF(AND(R8=0,CTRS_Control!$C$19="MMWQI_ONLY"),1-O8/100,CTRS_Control!$C$15*(1-O8/100)+CTRS_Control!$C$16*(1-S8/100)),"")</f>
        <v>0.44490555555555555</v>
      </c>
      <c r="AB8" s="8">
        <f>IF(Y8=1,IF(ISNUMBER(CTRS_Z!$H8),CTRS_Z!$H8,0),"")</f>
        <v>0.66325506722857708</v>
      </c>
      <c r="AC8" s="8">
        <f>IF(Y8=1,CTRS_Control!$C$12*Z8+CTRS_Control!$C$13*AA8-CTRS_Control!$C$14*AB8,"")</f>
        <v>2.4843925994273985E-2</v>
      </c>
      <c r="AD8" s="8">
        <f>IF(Y8=1,(AC8+CTRS_Control!$C$14)/(CTRS_Control!$C$12+CTRS_Control!$C$13+CTRS_Control!$C$14),"")</f>
        <v>0.3581772593276073</v>
      </c>
      <c r="AE8" s="22">
        <f>IF(Y8=1,RANK(AC8,$AC$5:$AC$18,0)+COUNTIF($AC$5:AC8,AC8)-1,"")</f>
        <v>12</v>
      </c>
      <c r="AF8" s="6" t="str">
        <f>IF(U8=0,"No hotel data",IF(V8=0,"No MMWQI stations",IF(AND(W8=0,CTRS_Control!$C$19="EXCLUDE"),"No LCC sites",IF(AND(CTRS_Control!$C$8="TOURISTS",X8=0),"No tourist count",TRIM(IF(AH8=1,"No LCC data → substituted ("&amp;CTRS_Control!$C$19&amp;"). ","")&amp;IF(F8&lt;&gt;G8,"Hotels: reported total "&amp;F8&amp;" ≠ sum of categories "&amp;G8&amp;". ","")&amp;IF(I8&lt;&gt;SUMPRODUCT((hotel_location_2025!$A$2:$A$110=$B8)*(hotel_location_2025!$B$2:$B$110&lt;&gt;"Jumlah/ Total")*hotel_location_2025!$D$2:$D$110),"Rooms: reported total "&amp;I8&amp;" ≠ sum of categories "&amp;SUMPRODUCT((hotel_location_2025!$A$2:$A$110=$B8)*(hotel_location_2025!$B$2:$B$110&lt;&gt;"Jumlah/ Total")*hotel_location_2025!$D$2:$D$110),""))))))</f>
        <v/>
      </c>
      <c r="AG8" s="22">
        <f>U8*V8*IF(OR(W8=1,CTRS_Control!$C$19&lt;&gt;"EXCLUDE"),1,0)</f>
        <v>1</v>
      </c>
      <c r="AH8" s="22">
        <f t="shared" si="5"/>
        <v>0</v>
      </c>
    </row>
    <row r="9" spans="1:34" x14ac:dyDescent="0.35">
      <c r="A9" s="11" t="s">
        <v>85</v>
      </c>
      <c r="B9" s="13" t="s">
        <v>85</v>
      </c>
      <c r="C9" s="13" t="s">
        <v>123</v>
      </c>
      <c r="D9" s="13" t="s">
        <v>124</v>
      </c>
      <c r="E9" s="20">
        <f>SUMPRODUCT((hotel_location_2025!$A$2:$A$110=$B9)*(hotel_location_2025!$B$2:$B$110="Pantai/ Beach")*hotel_location_2025!$C$2:$C$110)</f>
        <v>39</v>
      </c>
      <c r="F9" s="20">
        <f>SUMPRODUCT((hotel_location_2025!$A$2:$A$110=$B9)*(hotel_location_2025!$B$2:$B$110="Jumlah/ Total")*hotel_location_2025!$C$2:$C$110)</f>
        <v>160</v>
      </c>
      <c r="G9" s="20">
        <f>SUMPRODUCT((hotel_location_2025!$A$2:$A$110=$B9)*(hotel_location_2025!$B$2:$B$110&lt;&gt;"Jumlah/ Total")*hotel_location_2025!$C$2:$C$110)</f>
        <v>160</v>
      </c>
      <c r="H9" s="20">
        <f>SUMPRODUCT((hotel_location_2025!$A$2:$A$110=$B9)*(hotel_location_2025!$B$2:$B$110="Pantai/ Beach")*hotel_location_2025!$D$2:$D$110)</f>
        <v>6057</v>
      </c>
      <c r="I9" s="20">
        <f>SUMPRODUCT((hotel_location_2025!$A$2:$A$110=$B9)*(hotel_location_2025!$B$2:$B$110="Jumlah/ Total")*hotel_location_2025!$D$2:$D$110)</f>
        <v>13274</v>
      </c>
      <c r="J9" s="7">
        <f>IF(U9=0,"",IFERROR(IF(CTRS_Control!$C$5="ROOMS",H9/I9,E9/IF(CTRS_Control!$C$6="SUM_CATEGORIES",G9,F9)),""))</f>
        <v>0.24374999999999999</v>
      </c>
      <c r="K9" s="17">
        <f>IF(ISNUMBER(INDEX(CTRS_Inputs!$D$6:$D$19,MATCH($A9,CTRS_Inputs!$A$6:$A$19,0))),INDEX(CTRS_Inputs!$D$6:$D$19,MATCH($A9,CTRS_Inputs!$A$6:$A$19,0)),"")</f>
        <v>6547.0230000000001</v>
      </c>
      <c r="L9" s="17">
        <f t="shared" si="0"/>
        <v>1595.83685625</v>
      </c>
      <c r="M9" s="21">
        <f>IF(AG9=0,"",IF(CTRS_Control!$C$8="TOURISTS",IF(ISNUMBER(L9),L9,""),J9))</f>
        <v>1595.83685625</v>
      </c>
      <c r="N9" s="22">
        <f>COUNTIF(MMWQI!$A$2:$A$400,$C9)</f>
        <v>14</v>
      </c>
      <c r="O9" s="23">
        <f>IF(N9=0,"",AVERAGEIFS(INDEX(MMWQI!$E$2:$I$400,0,MATCH(VALUE(CTRS_Control!$C$10),MMWQI!$E$1:$I$1,0)),MMWQI!$A$2:$A$400,$C9))</f>
        <v>91.857142857142861</v>
      </c>
      <c r="P9" s="23">
        <f>IF(N9=0,"",_xlfn.MINIFS(INDEX(MMWQI!$E$2:$I$400,0,MATCH(VALUE(CTRS_Control!$C$10),MMWQI!$E$1:$I$1,0)),MMWQI!$A$2:$A$400,$C9))</f>
        <v>89</v>
      </c>
      <c r="Q9" s="23">
        <f>IF(N9=0,"",_xlfn.MAXIFS(INDEX(MMWQI!$E$2:$I$400,0,MATCH(VALUE(CTRS_Control!$C$10),MMWQI!$E$1:$I$1,0)),MMWQI!$A$2:$A$400,$C9))</f>
        <v>95</v>
      </c>
      <c r="R9" s="22">
        <f>SUMIF(LCC!$B$2:$B$200,$D9,LCC!$D$2:$D$200)</f>
        <v>2</v>
      </c>
      <c r="S9" s="24">
        <f>IF(R9&gt;0,IF(CTRS_Control!$C$11="SITES",SUMPRODUCT((LCC!$B$2:$B$200=$D9)*LCC!$D$2:$D$200*LCC!$F$2:$F$200)/R9,AVERAGEIFS(LCC!$F$2:$F$200,LCC!$B$2:$B$200,$D9)),IF(AND(U9=1,V9=1),IF(CTRS_Control!$C$19="ZERO",0,IF(CTRS_Control!$C$19="NO_STRESS",100,"")),""))</f>
        <v>16.559999999999999</v>
      </c>
      <c r="T9" s="23"/>
      <c r="U9" s="22">
        <f>IF(COUNTIF(hotel_location_2025!$A$2:$A$110,$B9)&gt;0,1,0)</f>
        <v>1</v>
      </c>
      <c r="V9" s="22">
        <f t="shared" si="1"/>
        <v>1</v>
      </c>
      <c r="W9" s="22">
        <f t="shared" si="2"/>
        <v>1</v>
      </c>
      <c r="X9" s="22">
        <f t="shared" si="3"/>
        <v>1</v>
      </c>
      <c r="Y9" s="22">
        <f t="shared" si="4"/>
        <v>1</v>
      </c>
      <c r="Z9" s="8">
        <f>IF(Y9=1,IFERROR(IF(CTRS_Control!$C$9="MINMAX",(M9-MIN($M$5:$M$18))/(MAX($M$5:$M$18)-MIN($M$5:$M$18)),M9/MAX($M$5:$M$18)),0),"")</f>
        <v>0.51237228085992725</v>
      </c>
      <c r="AA9" s="8">
        <f>IF(Y9=1,IF(AND(R9=0,CTRS_Control!$C$19="MMWQI_ONLY"),1-O9/100,CTRS_Control!$C$15*(1-O9/100)+CTRS_Control!$C$16*(1-S9/100)),"")</f>
        <v>0.45791428571428572</v>
      </c>
      <c r="AB9" s="8">
        <f>IF(Y9=1,IF(ISNUMBER(CTRS_Z!$H9),CTRS_Z!$H9,0),"")</f>
        <v>0.54556922106590977</v>
      </c>
      <c r="AC9" s="8">
        <f>IF(Y9=1,CTRS_Control!$C$12*Z9+CTRS_Control!$C$13*AA9-CTRS_Control!$C$14*AB9,"")</f>
        <v>0.14157244850276773</v>
      </c>
      <c r="AD9" s="8">
        <f>IF(Y9=1,(AC9+CTRS_Control!$C$14)/(CTRS_Control!$C$12+CTRS_Control!$C$13+CTRS_Control!$C$14),"")</f>
        <v>0.47490578183610105</v>
      </c>
      <c r="AE9" s="22">
        <f>IF(Y9=1,RANK(AC9,$AC$5:$AC$18,0)+COUNTIF($AC$5:AC9,AC9)-1,"")</f>
        <v>11</v>
      </c>
      <c r="AF9" s="6" t="str">
        <f>IF(U9=0,"No hotel data",IF(V9=0,"No MMWQI stations",IF(AND(W9=0,CTRS_Control!$C$19="EXCLUDE"),"No LCC sites",IF(AND(CTRS_Control!$C$8="TOURISTS",X9=0),"No tourist count",TRIM(IF(AH9=1,"No LCC data → substituted ("&amp;CTRS_Control!$C$19&amp;"). ","")&amp;IF(F9&lt;&gt;G9,"Hotels: reported total "&amp;F9&amp;" ≠ sum of categories "&amp;G9&amp;". ","")&amp;IF(I9&lt;&gt;SUMPRODUCT((hotel_location_2025!$A$2:$A$110=$B9)*(hotel_location_2025!$B$2:$B$110&lt;&gt;"Jumlah/ Total")*hotel_location_2025!$D$2:$D$110),"Rooms: reported total "&amp;I9&amp;" ≠ sum of categories "&amp;SUMPRODUCT((hotel_location_2025!$A$2:$A$110=$B9)*(hotel_location_2025!$B$2:$B$110&lt;&gt;"Jumlah/ Total")*hotel_location_2025!$D$2:$D$110),""))))))</f>
        <v/>
      </c>
      <c r="AG9" s="22">
        <f>U9*V9*IF(OR(W9=1,CTRS_Control!$C$19&lt;&gt;"EXCLUDE"),1,0)</f>
        <v>1</v>
      </c>
      <c r="AH9" s="22">
        <f t="shared" si="5"/>
        <v>0</v>
      </c>
    </row>
    <row r="10" spans="1:34" x14ac:dyDescent="0.35">
      <c r="A10" s="11" t="s">
        <v>86</v>
      </c>
      <c r="B10" s="13" t="s">
        <v>86</v>
      </c>
      <c r="C10" s="13" t="s">
        <v>86</v>
      </c>
      <c r="D10" s="13" t="s">
        <v>86</v>
      </c>
      <c r="E10" s="20">
        <f>SUMPRODUCT((hotel_location_2025!$A$2:$A$110=$B10)*(hotel_location_2025!$B$2:$B$110="Pantai/ Beach")*hotel_location_2025!$C$2:$C$110)</f>
        <v>86</v>
      </c>
      <c r="F10" s="20">
        <f>SUMPRODUCT((hotel_location_2025!$A$2:$A$110=$B10)*(hotel_location_2025!$B$2:$B$110="Jumlah/ Total")*hotel_location_2025!$C$2:$C$110)</f>
        <v>305</v>
      </c>
      <c r="G10" s="20">
        <f>SUMPRODUCT((hotel_location_2025!$A$2:$A$110=$B10)*(hotel_location_2025!$B$2:$B$110&lt;&gt;"Jumlah/ Total")*hotel_location_2025!$C$2:$C$110)</f>
        <v>305</v>
      </c>
      <c r="H10" s="20">
        <f>SUMPRODUCT((hotel_location_2025!$A$2:$A$110=$B10)*(hotel_location_2025!$B$2:$B$110="Pantai/ Beach")*hotel_location_2025!$D$2:$D$110)</f>
        <v>4898</v>
      </c>
      <c r="I10" s="20">
        <f>SUMPRODUCT((hotel_location_2025!$A$2:$A$110=$B10)*(hotel_location_2025!$B$2:$B$110="Jumlah/ Total")*hotel_location_2025!$D$2:$D$110)</f>
        <v>26037</v>
      </c>
      <c r="J10" s="7">
        <f>IF(U10=0,"",IFERROR(IF(CTRS_Control!$C$5="ROOMS",H10/I10,E10/IF(CTRS_Control!$C$6="SUM_CATEGORIES",G10,F10)),""))</f>
        <v>0.28196721311475409</v>
      </c>
      <c r="K10" s="17">
        <f>IF(ISNUMBER(INDEX(CTRS_Inputs!$D$6:$D$19,MATCH($A10,CTRS_Inputs!$A$6:$A$19,0))),INDEX(CTRS_Inputs!$D$6:$D$19,MATCH($A10,CTRS_Inputs!$A$6:$A$19,0)),"")</f>
        <v>11045.98</v>
      </c>
      <c r="L10" s="17">
        <f t="shared" si="0"/>
        <v>3114.6041967213114</v>
      </c>
      <c r="M10" s="21">
        <f>IF(AG10=0,"",IF(CTRS_Control!$C$8="TOURISTS",IF(ISNUMBER(L10),L10,""),J10))</f>
        <v>3114.6041967213114</v>
      </c>
      <c r="N10" s="22">
        <f>COUNTIF(MMWQI!$A$2:$A$400,$C10)</f>
        <v>22</v>
      </c>
      <c r="O10" s="23">
        <f>IF(N10=0,"",AVERAGEIFS(INDEX(MMWQI!$E$2:$I$400,0,MATCH(VALUE(CTRS_Control!$C$10),MMWQI!$E$1:$I$1,0)),MMWQI!$A$2:$A$400,$C10))</f>
        <v>93.36363636363636</v>
      </c>
      <c r="P10" s="23">
        <f>IF(N10=0,"",_xlfn.MINIFS(INDEX(MMWQI!$E$2:$I$400,0,MATCH(VALUE(CTRS_Control!$C$10),MMWQI!$E$1:$I$1,0)),MMWQI!$A$2:$A$400,$C10))</f>
        <v>72</v>
      </c>
      <c r="Q10" s="23">
        <f>IF(N10=0,"",_xlfn.MAXIFS(INDEX(MMWQI!$E$2:$I$400,0,MATCH(VALUE(CTRS_Control!$C$10),MMWQI!$E$1:$I$1,0)),MMWQI!$A$2:$A$400,$C10))</f>
        <v>96</v>
      </c>
      <c r="R10" s="22">
        <f>SUMIF(LCC!$B$2:$B$200,$D10,LCC!$D$2:$D$200)</f>
        <v>18</v>
      </c>
      <c r="S10" s="24">
        <f>IF(R10&gt;0,IF(CTRS_Control!$C$11="SITES",SUMPRODUCT((LCC!$B$2:$B$200=$D10)*LCC!$D$2:$D$200*LCC!$F$2:$F$200)/R10,AVERAGEIFS(LCC!$F$2:$F$200,LCC!$B$2:$B$200,$D10)),IF(AND(U10=1,V10=1),IF(CTRS_Control!$C$19="ZERO",0,IF(CTRS_Control!$C$19="NO_STRESS",100,"")),""))</f>
        <v>53.34</v>
      </c>
      <c r="T10" s="23"/>
      <c r="U10" s="22">
        <f>IF(COUNTIF(hotel_location_2025!$A$2:$A$110,$B10)&gt;0,1,0)</f>
        <v>1</v>
      </c>
      <c r="V10" s="22">
        <f t="shared" si="1"/>
        <v>1</v>
      </c>
      <c r="W10" s="22">
        <f t="shared" si="2"/>
        <v>1</v>
      </c>
      <c r="X10" s="22">
        <f t="shared" si="3"/>
        <v>1</v>
      </c>
      <c r="Y10" s="22">
        <f t="shared" si="4"/>
        <v>1</v>
      </c>
      <c r="Z10" s="8">
        <f>IF(Y10=1,IFERROR(IF(CTRS_Control!$C$9="MINMAX",(M10-MIN($M$5:$M$18))/(MAX($M$5:$M$18)-MIN($M$5:$M$18)),M10/MAX($M$5:$M$18)),0),"")</f>
        <v>1</v>
      </c>
      <c r="AA10" s="8">
        <f>IF(Y10=1,IF(AND(R10=0,CTRS_Control!$C$19="MMWQI_ONLY"),1-O10/100,CTRS_Control!$C$15*(1-O10/100)+CTRS_Control!$C$16*(1-S10/100)),"")</f>
        <v>0.26648181818181821</v>
      </c>
      <c r="AB10" s="8">
        <f>IF(Y10=1,IF(ISNUMBER(CTRS_Z!$H10),CTRS_Z!$H10,0),"")</f>
        <v>4.7504366497127748E-2</v>
      </c>
      <c r="AC10" s="8">
        <f>IF(Y10=1,CTRS_Control!$C$12*Z10+CTRS_Control!$C$13*AA10-CTRS_Control!$C$14*AB10,"")</f>
        <v>0.40632581722823008</v>
      </c>
      <c r="AD10" s="8">
        <f>IF(Y10=1,(AC10+CTRS_Control!$C$14)/(CTRS_Control!$C$12+CTRS_Control!$C$13+CTRS_Control!$C$14),"")</f>
        <v>0.73965915056156339</v>
      </c>
      <c r="AE10" s="22">
        <f>IF(Y10=1,RANK(AC10,$AC$5:$AC$18,0)+COUNTIF($AC$5:AC10,AC10)-1,"")</f>
        <v>1</v>
      </c>
      <c r="AF10" s="6" t="str">
        <f>IF(U10=0,"No hotel data",IF(V10=0,"No MMWQI stations",IF(AND(W10=0,CTRS_Control!$C$19="EXCLUDE"),"No LCC sites",IF(AND(CTRS_Control!$C$8="TOURISTS",X10=0),"No tourist count",TRIM(IF(AH10=1,"No LCC data → substituted ("&amp;CTRS_Control!$C$19&amp;"). ","")&amp;IF(F10&lt;&gt;G10,"Hotels: reported total "&amp;F10&amp;" ≠ sum of categories "&amp;G10&amp;". ","")&amp;IF(I10&lt;&gt;SUMPRODUCT((hotel_location_2025!$A$2:$A$110=$B10)*(hotel_location_2025!$B$2:$B$110&lt;&gt;"Jumlah/ Total")*hotel_location_2025!$D$2:$D$110),"Rooms: reported total "&amp;I10&amp;" ≠ sum of categories "&amp;SUMPRODUCT((hotel_location_2025!$A$2:$A$110=$B10)*(hotel_location_2025!$B$2:$B$110&lt;&gt;"Jumlah/ Total")*hotel_location_2025!$D$2:$D$110),""))))))</f>
        <v/>
      </c>
      <c r="AG10" s="22">
        <f>U10*V10*IF(OR(W10=1,CTRS_Control!$C$19&lt;&gt;"EXCLUDE"),1,0)</f>
        <v>1</v>
      </c>
      <c r="AH10" s="22">
        <f t="shared" si="5"/>
        <v>0</v>
      </c>
    </row>
    <row r="11" spans="1:34" x14ac:dyDescent="0.35">
      <c r="A11" s="11" t="s">
        <v>87</v>
      </c>
      <c r="B11" s="13" t="s">
        <v>87</v>
      </c>
      <c r="C11" s="13" t="s">
        <v>87</v>
      </c>
      <c r="D11" s="13" t="s">
        <v>87</v>
      </c>
      <c r="E11" s="20">
        <f>SUMPRODUCT((hotel_location_2025!$A$2:$A$110=$B11)*(hotel_location_2025!$B$2:$B$110="Pantai/ Beach")*hotel_location_2025!$C$2:$C$110)</f>
        <v>51</v>
      </c>
      <c r="F11" s="20">
        <f>SUMPRODUCT((hotel_location_2025!$A$2:$A$110=$B11)*(hotel_location_2025!$B$2:$B$110="Jumlah/ Total")*hotel_location_2025!$C$2:$C$110)</f>
        <v>341</v>
      </c>
      <c r="G11" s="20">
        <f>SUMPRODUCT((hotel_location_2025!$A$2:$A$110=$B11)*(hotel_location_2025!$B$2:$B$110&lt;&gt;"Jumlah/ Total")*hotel_location_2025!$C$2:$C$110)</f>
        <v>341</v>
      </c>
      <c r="H11" s="20">
        <f>SUMPRODUCT((hotel_location_2025!$A$2:$A$110=$B11)*(hotel_location_2025!$B$2:$B$110="Pantai/ Beach")*hotel_location_2025!$D$2:$D$110)</f>
        <v>3106</v>
      </c>
      <c r="I11" s="20">
        <f>SUMPRODUCT((hotel_location_2025!$A$2:$A$110=$B11)*(hotel_location_2025!$B$2:$B$110="Jumlah/ Total")*hotel_location_2025!$D$2:$D$110)</f>
        <v>18181</v>
      </c>
      <c r="J11" s="7">
        <f>IF(U11=0,"",IFERROR(IF(CTRS_Control!$C$5="ROOMS",H11/I11,E11/IF(CTRS_Control!$C$6="SUM_CATEGORIES",G11,F11)),""))</f>
        <v>0.14956011730205279</v>
      </c>
      <c r="K11" s="17">
        <f>IF(ISNUMBER(INDEX(CTRS_Inputs!$D$6:$D$19,MATCH($A11,CTRS_Inputs!$A$6:$A$19,0))),INDEX(CTRS_Inputs!$D$6:$D$19,MATCH($A11,CTRS_Inputs!$A$6:$A$19,0)),"")</f>
        <v>10413.82</v>
      </c>
      <c r="L11" s="17">
        <f t="shared" si="0"/>
        <v>1557.4921407624634</v>
      </c>
      <c r="M11" s="21">
        <f>IF(AG11=0,"",IF(CTRS_Control!$C$8="TOURISTS",IF(ISNUMBER(L11),L11,""),J11))</f>
        <v>1557.4921407624634</v>
      </c>
      <c r="N11" s="22">
        <f>COUNTIF(MMWQI!$A$2:$A$400,$C11)</f>
        <v>8</v>
      </c>
      <c r="O11" s="23">
        <f>IF(N11=0,"",AVERAGEIFS(INDEX(MMWQI!$E$2:$I$400,0,MATCH(VALUE(CTRS_Control!$C$10),MMWQI!$E$1:$I$1,0)),MMWQI!$A$2:$A$400,$C11))</f>
        <v>93.375</v>
      </c>
      <c r="P11" s="23">
        <f>IF(N11=0,"",_xlfn.MINIFS(INDEX(MMWQI!$E$2:$I$400,0,MATCH(VALUE(CTRS_Control!$C$10),MMWQI!$E$1:$I$1,0)),MMWQI!$A$2:$A$400,$C11))</f>
        <v>91</v>
      </c>
      <c r="Q11" s="23">
        <f>IF(N11=0,"",_xlfn.MAXIFS(INDEX(MMWQI!$E$2:$I$400,0,MATCH(VALUE(CTRS_Control!$C$10),MMWQI!$E$1:$I$1,0)),MMWQI!$A$2:$A$400,$C11))</f>
        <v>96</v>
      </c>
      <c r="R11" s="22">
        <f>SUMIF(LCC!$B$2:$B$200,$D11,LCC!$D$2:$D$200)</f>
        <v>10</v>
      </c>
      <c r="S11" s="24">
        <f>IF(R11&gt;0,IF(CTRS_Control!$C$11="SITES",SUMPRODUCT((LCC!$B$2:$B$200=$D11)*LCC!$D$2:$D$200*LCC!$F$2:$F$200)/R11,AVERAGEIFS(LCC!$F$2:$F$200,LCC!$B$2:$B$200,$D11)),IF(AND(U11=1,V11=1),IF(CTRS_Control!$C$19="ZERO",0,IF(CTRS_Control!$C$19="NO_STRESS",100,"")),""))</f>
        <v>32.503999999999998</v>
      </c>
      <c r="T11" s="23"/>
      <c r="U11" s="22">
        <f>IF(COUNTIF(hotel_location_2025!$A$2:$A$110,$B11)&gt;0,1,0)</f>
        <v>1</v>
      </c>
      <c r="V11" s="22">
        <f t="shared" si="1"/>
        <v>1</v>
      </c>
      <c r="W11" s="22">
        <f t="shared" si="2"/>
        <v>1</v>
      </c>
      <c r="X11" s="22">
        <f t="shared" si="3"/>
        <v>1</v>
      </c>
      <c r="Y11" s="22">
        <f t="shared" si="4"/>
        <v>1</v>
      </c>
      <c r="Z11" s="8">
        <f>IF(Y11=1,IFERROR(IF(CTRS_Control!$C$9="MINMAX",(M11-MIN($M$5:$M$18))/(MAX($M$5:$M$18)-MIN($M$5:$M$18)),M11/MAX($M$5:$M$18)),0),"")</f>
        <v>0.50006101654971369</v>
      </c>
      <c r="AA11" s="8">
        <f>IF(Y11=1,IF(AND(R11=0,CTRS_Control!$C$19="MMWQI_ONLY"),1-O11/100,CTRS_Control!$C$15*(1-O11/100)+CTRS_Control!$C$16*(1-S11/100)),"")</f>
        <v>0.37060500000000002</v>
      </c>
      <c r="AB11" s="8">
        <f>IF(Y11=1,IF(ISNUMBER(CTRS_Z!$H11),CTRS_Z!$H11,0),"")</f>
        <v>0</v>
      </c>
      <c r="AC11" s="8">
        <f>IF(Y11=1,CTRS_Control!$C$12*Z11+CTRS_Control!$C$13*AA11-CTRS_Control!$C$14*AB11,"")</f>
        <v>0.29022200551657124</v>
      </c>
      <c r="AD11" s="8">
        <f>IF(Y11=1,(AC11+CTRS_Control!$C$14)/(CTRS_Control!$C$12+CTRS_Control!$C$13+CTRS_Control!$C$14),"")</f>
        <v>0.62355533884990455</v>
      </c>
      <c r="AE11" s="22">
        <f>IF(Y11=1,RANK(AC11,$AC$5:$AC$18,0)+COUNTIF($AC$5:AC11,AC11)-1,"")</f>
        <v>5</v>
      </c>
      <c r="AF11" s="6" t="str">
        <f>IF(U11=0,"No hotel data",IF(V11=0,"No MMWQI stations",IF(AND(W11=0,CTRS_Control!$C$19="EXCLUDE"),"No LCC sites",IF(AND(CTRS_Control!$C$8="TOURISTS",X11=0),"No tourist count",TRIM(IF(AH11=1,"No LCC data → substituted ("&amp;CTRS_Control!$C$19&amp;"). ","")&amp;IF(F11&lt;&gt;G11,"Hotels: reported total "&amp;F11&amp;" ≠ sum of categories "&amp;G11&amp;". ","")&amp;IF(I11&lt;&gt;SUMPRODUCT((hotel_location_2025!$A$2:$A$110=$B11)*(hotel_location_2025!$B$2:$B$110&lt;&gt;"Jumlah/ Total")*hotel_location_2025!$D$2:$D$110),"Rooms: reported total "&amp;I11&amp;" ≠ sum of categories "&amp;SUMPRODUCT((hotel_location_2025!$A$2:$A$110=$B11)*(hotel_location_2025!$B$2:$B$110&lt;&gt;"Jumlah/ Total")*hotel_location_2025!$D$2:$D$110),""))))))</f>
        <v/>
      </c>
      <c r="AG11" s="22">
        <f>U11*V11*IF(OR(W11=1,CTRS_Control!$C$19&lt;&gt;"EXCLUDE"),1,0)</f>
        <v>1</v>
      </c>
      <c r="AH11" s="22">
        <f t="shared" si="5"/>
        <v>0</v>
      </c>
    </row>
    <row r="12" spans="1:34" x14ac:dyDescent="0.35">
      <c r="A12" s="11" t="s">
        <v>88</v>
      </c>
      <c r="B12" s="13" t="s">
        <v>88</v>
      </c>
      <c r="C12" s="13" t="s">
        <v>88</v>
      </c>
      <c r="D12" s="13" t="s">
        <v>88</v>
      </c>
      <c r="E12" s="20">
        <f>SUMPRODUCT((hotel_location_2025!$A$2:$A$110=$B12)*(hotel_location_2025!$B$2:$B$110="Pantai/ Beach")*hotel_location_2025!$C$2:$C$110)</f>
        <v>2</v>
      </c>
      <c r="F12" s="20">
        <f>SUMPRODUCT((hotel_location_2025!$A$2:$A$110=$B12)*(hotel_location_2025!$B$2:$B$110="Jumlah/ Total")*hotel_location_2025!$C$2:$C$110)</f>
        <v>33</v>
      </c>
      <c r="G12" s="20">
        <f>SUMPRODUCT((hotel_location_2025!$A$2:$A$110=$B12)*(hotel_location_2025!$B$2:$B$110&lt;&gt;"Jumlah/ Total")*hotel_location_2025!$C$2:$C$110)</f>
        <v>33</v>
      </c>
      <c r="H12" s="20">
        <f>SUMPRODUCT((hotel_location_2025!$A$2:$A$110=$B12)*(hotel_location_2025!$B$2:$B$110="Pantai/ Beach")*hotel_location_2025!$D$2:$D$110)</f>
        <v>150</v>
      </c>
      <c r="I12" s="20">
        <f>SUMPRODUCT((hotel_location_2025!$A$2:$A$110=$B12)*(hotel_location_2025!$B$2:$B$110="Jumlah/ Total")*hotel_location_2025!$D$2:$D$110)</f>
        <v>1321</v>
      </c>
      <c r="J12" s="7">
        <f>IF(U12=0,"",IFERROR(IF(CTRS_Control!$C$5="ROOMS",H12/I12,E12/IF(CTRS_Control!$C$6="SUM_CATEGORIES",G12,F12)),""))</f>
        <v>6.0606060606060608E-2</v>
      </c>
      <c r="K12" s="17">
        <f>IF(ISNUMBER(INDEX(CTRS_Inputs!$D$6:$D$19,MATCH($A12,CTRS_Inputs!$A$6:$A$19,0))),INDEX(CTRS_Inputs!$D$6:$D$19,MATCH($A12,CTRS_Inputs!$A$6:$A$19,0)),"")</f>
        <v>1474.9359999999999</v>
      </c>
      <c r="L12" s="17">
        <f t="shared" si="0"/>
        <v>89.390060606060601</v>
      </c>
      <c r="M12" s="21" t="str">
        <f>IF(AG12=0,"",IF(CTRS_Control!$C$8="TOURISTS",IF(ISNUMBER(L12),L12,""),J12))</f>
        <v/>
      </c>
      <c r="N12" s="22">
        <f>COUNTIF(MMWQI!$A$2:$A$400,$C12)</f>
        <v>0</v>
      </c>
      <c r="O12" s="23" t="str">
        <f>IF(N12=0,"",AVERAGEIFS(INDEX(MMWQI!$E$2:$I$400,0,MATCH(VALUE(CTRS_Control!$C$10),MMWQI!$E$1:$I$1,0)),MMWQI!$A$2:$A$400,$C12))</f>
        <v/>
      </c>
      <c r="P12" s="23" t="str">
        <f>IF(N12=0,"",_xlfn.MINIFS(INDEX(MMWQI!$E$2:$I$400,0,MATCH(VALUE(CTRS_Control!$C$10),MMWQI!$E$1:$I$1,0)),MMWQI!$A$2:$A$400,$C12))</f>
        <v/>
      </c>
      <c r="Q12" s="23" t="str">
        <f>IF(N12=0,"",_xlfn.MAXIFS(INDEX(MMWQI!$E$2:$I$400,0,MATCH(VALUE(CTRS_Control!$C$10),MMWQI!$E$1:$I$1,0)),MMWQI!$A$2:$A$400,$C12))</f>
        <v/>
      </c>
      <c r="R12" s="22">
        <f>SUMIF(LCC!$B$2:$B$200,$D12,LCC!$D$2:$D$200)</f>
        <v>0</v>
      </c>
      <c r="S12" s="24" t="str">
        <f>IF(R12&gt;0,IF(CTRS_Control!$C$11="SITES",SUMPRODUCT((LCC!$B$2:$B$200=$D12)*LCC!$D$2:$D$200*LCC!$F$2:$F$200)/R12,AVERAGEIFS(LCC!$F$2:$F$200,LCC!$B$2:$B$200,$D12)),IF(AND(U12=1,V12=1),IF(CTRS_Control!$C$19="ZERO",0,IF(CTRS_Control!$C$19="NO_STRESS",100,"")),""))</f>
        <v/>
      </c>
      <c r="T12" s="23"/>
      <c r="U12" s="22">
        <f>IF(COUNTIF(hotel_location_2025!$A$2:$A$110,$B12)&gt;0,1,0)</f>
        <v>1</v>
      </c>
      <c r="V12" s="22">
        <f t="shared" si="1"/>
        <v>0</v>
      </c>
      <c r="W12" s="22">
        <f t="shared" si="2"/>
        <v>0</v>
      </c>
      <c r="X12" s="22">
        <f t="shared" si="3"/>
        <v>1</v>
      </c>
      <c r="Y12" s="22">
        <f t="shared" si="4"/>
        <v>0</v>
      </c>
      <c r="Z12" s="8" t="str">
        <f>IF(Y12=1,IFERROR(IF(CTRS_Control!$C$9="MINMAX",(M12-MIN($M$5:$M$18))/(MAX($M$5:$M$18)-MIN($M$5:$M$18)),M12/MAX($M$5:$M$18)),0),"")</f>
        <v/>
      </c>
      <c r="AA12" s="8" t="str">
        <f>IF(Y12=1,IF(AND(R12=0,CTRS_Control!$C$19="MMWQI_ONLY"),1-O12/100,CTRS_Control!$C$15*(1-O12/100)+CTRS_Control!$C$16*(1-S12/100)),"")</f>
        <v/>
      </c>
      <c r="AB12" s="8" t="str">
        <f>IF(Y12=1,IF(ISNUMBER(CTRS_Z!$H12),CTRS_Z!$H12,0),"")</f>
        <v/>
      </c>
      <c r="AC12" s="8" t="str">
        <f>IF(Y12=1,CTRS_Control!$C$12*Z12+CTRS_Control!$C$13*AA12-CTRS_Control!$C$14*AB12,"")</f>
        <v/>
      </c>
      <c r="AD12" s="8" t="str">
        <f>IF(Y12=1,(AC12+CTRS_Control!$C$14)/(CTRS_Control!$C$12+CTRS_Control!$C$13+CTRS_Control!$C$14),"")</f>
        <v/>
      </c>
      <c r="AE12" s="22" t="str">
        <f>IF(Y12=1,RANK(AC12,$AC$5:$AC$18,0)+COUNTIF($AC$5:AC12,AC12)-1,"")</f>
        <v/>
      </c>
      <c r="AF12" s="6" t="str">
        <f>IF(U12=0,"No hotel data",IF(V12=0,"No MMWQI stations",IF(AND(W12=0,CTRS_Control!$C$19="EXCLUDE"),"No LCC sites",IF(AND(CTRS_Control!$C$8="TOURISTS",X12=0),"No tourist count",TRIM(IF(AH12=1,"No LCC data → substituted ("&amp;CTRS_Control!$C$19&amp;"). ","")&amp;IF(F12&lt;&gt;G12,"Hotels: reported total "&amp;F12&amp;" ≠ sum of categories "&amp;G12&amp;". ","")&amp;IF(I12&lt;&gt;SUMPRODUCT((hotel_location_2025!$A$2:$A$110=$B12)*(hotel_location_2025!$B$2:$B$110&lt;&gt;"Jumlah/ Total")*hotel_location_2025!$D$2:$D$110),"Rooms: reported total "&amp;I12&amp;" ≠ sum of categories "&amp;SUMPRODUCT((hotel_location_2025!$A$2:$A$110=$B12)*(hotel_location_2025!$B$2:$B$110&lt;&gt;"Jumlah/ Total")*hotel_location_2025!$D$2:$D$110),""))))))</f>
        <v>No MMWQI stations</v>
      </c>
      <c r="AG12" s="22">
        <f>U12*V12*IF(OR(W12=1,CTRS_Control!$C$19&lt;&gt;"EXCLUDE"),1,0)</f>
        <v>0</v>
      </c>
      <c r="AH12" s="22">
        <f t="shared" si="5"/>
        <v>0</v>
      </c>
    </row>
    <row r="13" spans="1:34" x14ac:dyDescent="0.35">
      <c r="A13" s="11" t="s">
        <v>89</v>
      </c>
      <c r="B13" s="13" t="s">
        <v>89</v>
      </c>
      <c r="C13" s="13" t="s">
        <v>125</v>
      </c>
      <c r="D13" s="13" t="s">
        <v>89</v>
      </c>
      <c r="E13" s="20">
        <f>SUMPRODUCT((hotel_location_2025!$A$2:$A$110=$B13)*(hotel_location_2025!$B$2:$B$110="Pantai/ Beach")*hotel_location_2025!$C$2:$C$110)</f>
        <v>21</v>
      </c>
      <c r="F13" s="20">
        <f>SUMPRODUCT((hotel_location_2025!$A$2:$A$110=$B13)*(hotel_location_2025!$B$2:$B$110="Jumlah/ Total")*hotel_location_2025!$C$2:$C$110)</f>
        <v>253</v>
      </c>
      <c r="G13" s="20">
        <f>SUMPRODUCT((hotel_location_2025!$A$2:$A$110=$B13)*(hotel_location_2025!$B$2:$B$110&lt;&gt;"Jumlah/ Total")*hotel_location_2025!$C$2:$C$110)</f>
        <v>253</v>
      </c>
      <c r="H13" s="20">
        <f>SUMPRODUCT((hotel_location_2025!$A$2:$A$110=$B13)*(hotel_location_2025!$B$2:$B$110="Pantai/ Beach")*hotel_location_2025!$D$2:$D$110)</f>
        <v>4424</v>
      </c>
      <c r="I13" s="20">
        <f>SUMPRODUCT((hotel_location_2025!$A$2:$A$110=$B13)*(hotel_location_2025!$B$2:$B$110="Jumlah/ Total")*hotel_location_2025!$D$2:$D$110)</f>
        <v>25603</v>
      </c>
      <c r="J13" s="7">
        <f>IF(U13=0,"",IFERROR(IF(CTRS_Control!$C$5="ROOMS",H13/I13,E13/IF(CTRS_Control!$C$6="SUM_CATEGORIES",G13,F13)),""))</f>
        <v>8.3003952569169967E-2</v>
      </c>
      <c r="K13" s="17">
        <f>IF(ISNUMBER(INDEX(CTRS_Inputs!$D$6:$D$19,MATCH($A13,CTRS_Inputs!$A$6:$A$19,0))),INDEX(CTRS_Inputs!$D$6:$D$19,MATCH($A13,CTRS_Inputs!$A$6:$A$19,0)),"")</f>
        <v>5629.5439999999999</v>
      </c>
      <c r="L13" s="17">
        <f t="shared" si="0"/>
        <v>467.27440316205536</v>
      </c>
      <c r="M13" s="21">
        <f>IF(AG13=0,"",IF(CTRS_Control!$C$8="TOURISTS",IF(ISNUMBER(L13),L13,""),J13))</f>
        <v>467.27440316205536</v>
      </c>
      <c r="N13" s="22">
        <f>COUNTIF(MMWQI!$A$2:$A$400,$C13)</f>
        <v>17</v>
      </c>
      <c r="O13" s="23">
        <f>IF(N13=0,"",AVERAGEIFS(INDEX(MMWQI!$E$2:$I$400,0,MATCH(VALUE(CTRS_Control!$C$10),MMWQI!$E$1:$I$1,0)),MMWQI!$A$2:$A$400,$C13))</f>
        <v>81.470588235294116</v>
      </c>
      <c r="P13" s="23">
        <f>IF(N13=0,"",_xlfn.MINIFS(INDEX(MMWQI!$E$2:$I$400,0,MATCH(VALUE(CTRS_Control!$C$10),MMWQI!$E$1:$I$1,0)),MMWQI!$A$2:$A$400,$C13))</f>
        <v>57</v>
      </c>
      <c r="Q13" s="23">
        <f>IF(N13=0,"",_xlfn.MAXIFS(INDEX(MMWQI!$E$2:$I$400,0,MATCH(VALUE(CTRS_Control!$C$10),MMWQI!$E$1:$I$1,0)),MMWQI!$A$2:$A$400,$C13))</f>
        <v>94</v>
      </c>
      <c r="R13" s="22">
        <f>SUMIF(LCC!$B$2:$B$200,$D13,LCC!$D$2:$D$200)</f>
        <v>0</v>
      </c>
      <c r="S13" s="24">
        <f>IF(R13&gt;0,IF(CTRS_Control!$C$11="SITES",SUMPRODUCT((LCC!$B$2:$B$200=$D13)*LCC!$D$2:$D$200*LCC!$F$2:$F$200)/R13,AVERAGEIFS(LCC!$F$2:$F$200,LCC!$B$2:$B$200,$D13)),IF(AND(U13=1,V13=1),IF(CTRS_Control!$C$19="ZERO",0,IF(CTRS_Control!$C$19="NO_STRESS",100,"")),""))</f>
        <v>0</v>
      </c>
      <c r="T13" s="23"/>
      <c r="U13" s="22">
        <f>IF(COUNTIF(hotel_location_2025!$A$2:$A$110,$B13)&gt;0,1,0)</f>
        <v>1</v>
      </c>
      <c r="V13" s="22">
        <f t="shared" si="1"/>
        <v>1</v>
      </c>
      <c r="W13" s="22">
        <f t="shared" si="2"/>
        <v>0</v>
      </c>
      <c r="X13" s="22">
        <f t="shared" si="3"/>
        <v>1</v>
      </c>
      <c r="Y13" s="22">
        <f t="shared" si="4"/>
        <v>1</v>
      </c>
      <c r="Z13" s="8">
        <f>IF(Y13=1,IFERROR(IF(CTRS_Control!$C$9="MINMAX",(M13-MIN($M$5:$M$18))/(MAX($M$5:$M$18)-MIN($M$5:$M$18)),M13/MAX($M$5:$M$18)),0),"")</f>
        <v>0.15002689704648406</v>
      </c>
      <c r="AA13" s="8">
        <f>IF(Y13=1,IF(AND(R13=0,CTRS_Control!$C$19="MMWQI_ONLY"),1-O13/100,CTRS_Control!$C$15*(1-O13/100)+CTRS_Control!$C$16*(1-S13/100)),"")</f>
        <v>0.59264705882352942</v>
      </c>
      <c r="AB13" s="8">
        <f>IF(Y13=1,IF(ISNUMBER(CTRS_Z!$H13),CTRS_Z!$H13,0),"")</f>
        <v>0</v>
      </c>
      <c r="AC13" s="8">
        <f>IF(Y13=1,CTRS_Control!$C$12*Z13+CTRS_Control!$C$13*AA13-CTRS_Control!$C$14*AB13,"")</f>
        <v>0.24755798529000447</v>
      </c>
      <c r="AD13" s="8">
        <f>IF(Y13=1,(AC13+CTRS_Control!$C$14)/(CTRS_Control!$C$12+CTRS_Control!$C$13+CTRS_Control!$C$14),"")</f>
        <v>0.58089131862333776</v>
      </c>
      <c r="AE13" s="22">
        <f>IF(Y13=1,RANK(AC13,$AC$5:$AC$18,0)+COUNTIF($AC$5:AC13,AC13)-1,"")</f>
        <v>7</v>
      </c>
      <c r="AF13" s="6" t="str">
        <f>IF(U13=0,"No hotel data",IF(V13=0,"No MMWQI stations",IF(AND(W13=0,CTRS_Control!$C$19="EXCLUDE"),"No LCC sites",IF(AND(CTRS_Control!$C$8="TOURISTS",X13=0),"No tourist count",TRIM(IF(AH13=1,"No LCC data → substituted ("&amp;CTRS_Control!$C$19&amp;"). ","")&amp;IF(F13&lt;&gt;G13,"Hotels: reported total "&amp;F13&amp;" ≠ sum of categories "&amp;G13&amp;". ","")&amp;IF(I13&lt;&gt;SUMPRODUCT((hotel_location_2025!$A$2:$A$110=$B13)*(hotel_location_2025!$B$2:$B$110&lt;&gt;"Jumlah/ Total")*hotel_location_2025!$D$2:$D$110),"Rooms: reported total "&amp;I13&amp;" ≠ sum of categories "&amp;SUMPRODUCT((hotel_location_2025!$A$2:$A$110=$B13)*(hotel_location_2025!$B$2:$B$110&lt;&gt;"Jumlah/ Total")*hotel_location_2025!$D$2:$D$110),""))))))</f>
        <v>No LCC data → substituted (ZERO).</v>
      </c>
      <c r="AG13" s="22">
        <f>U13*V13*IF(OR(W13=1,CTRS_Control!$C$19&lt;&gt;"EXCLUDE"),1,0)</f>
        <v>1</v>
      </c>
      <c r="AH13" s="22">
        <f t="shared" si="5"/>
        <v>1</v>
      </c>
    </row>
    <row r="14" spans="1:34" x14ac:dyDescent="0.35">
      <c r="A14" s="11" t="s">
        <v>90</v>
      </c>
      <c r="B14" s="13" t="s">
        <v>90</v>
      </c>
      <c r="C14" s="13" t="s">
        <v>90</v>
      </c>
      <c r="D14" s="13" t="s">
        <v>90</v>
      </c>
      <c r="E14" s="20">
        <f>SUMPRODUCT((hotel_location_2025!$A$2:$A$110=$B14)*(hotel_location_2025!$B$2:$B$110="Pantai/ Beach")*hotel_location_2025!$C$2:$C$110)</f>
        <v>26</v>
      </c>
      <c r="F14" s="20">
        <f>SUMPRODUCT((hotel_location_2025!$A$2:$A$110=$B14)*(hotel_location_2025!$B$2:$B$110="Jumlah/ Total")*hotel_location_2025!$C$2:$C$110)</f>
        <v>438</v>
      </c>
      <c r="G14" s="20">
        <f>SUMPRODUCT((hotel_location_2025!$A$2:$A$110=$B14)*(hotel_location_2025!$B$2:$B$110&lt;&gt;"Jumlah/ Total")*hotel_location_2025!$C$2:$C$110)</f>
        <v>438</v>
      </c>
      <c r="H14" s="20">
        <f>SUMPRODUCT((hotel_location_2025!$A$2:$A$110=$B14)*(hotel_location_2025!$B$2:$B$110="Pantai/ Beach")*hotel_location_2025!$D$2:$D$110)</f>
        <v>2852</v>
      </c>
      <c r="I14" s="20">
        <f>SUMPRODUCT((hotel_location_2025!$A$2:$A$110=$B14)*(hotel_location_2025!$B$2:$B$110="Jumlah/ Total")*hotel_location_2025!$D$2:$D$110)</f>
        <v>25692</v>
      </c>
      <c r="J14" s="7">
        <f>IF(U14=0,"",IFERROR(IF(CTRS_Control!$C$5="ROOMS",H14/I14,E14/IF(CTRS_Control!$C$6="SUM_CATEGORIES",G14,F14)),""))</f>
        <v>5.9360730593607303E-2</v>
      </c>
      <c r="K14" s="17">
        <f>IF(ISNUMBER(INDEX(CTRS_Inputs!$D$6:$D$19,MATCH($A14,CTRS_Inputs!$A$6:$A$19,0))),INDEX(CTRS_Inputs!$D$6:$D$19,MATCH($A14,CTRS_Inputs!$A$6:$A$19,0)),"")</f>
        <v>7359.8890000000001</v>
      </c>
      <c r="L14" s="17">
        <f t="shared" si="0"/>
        <v>436.88838812785389</v>
      </c>
      <c r="M14" s="21">
        <f>IF(AG14=0,"",IF(CTRS_Control!$C$8="TOURISTS",IF(ISNUMBER(L14),L14,""),J14))</f>
        <v>436.88838812785389</v>
      </c>
      <c r="N14" s="22">
        <f>COUNTIF(MMWQI!$A$2:$A$400,$C14)</f>
        <v>24</v>
      </c>
      <c r="O14" s="23">
        <f>IF(N14=0,"",AVERAGEIFS(INDEX(MMWQI!$E$2:$I$400,0,MATCH(VALUE(CTRS_Control!$C$10),MMWQI!$E$1:$I$1,0)),MMWQI!$A$2:$A$400,$C14))</f>
        <v>74.5</v>
      </c>
      <c r="P14" s="23">
        <f>IF(N14=0,"",_xlfn.MINIFS(INDEX(MMWQI!$E$2:$I$400,0,MATCH(VALUE(CTRS_Control!$C$10),MMWQI!$E$1:$I$1,0)),MMWQI!$A$2:$A$400,$C14))</f>
        <v>59</v>
      </c>
      <c r="Q14" s="23">
        <f>IF(N14=0,"",_xlfn.MAXIFS(INDEX(MMWQI!$E$2:$I$400,0,MATCH(VALUE(CTRS_Control!$C$10),MMWQI!$E$1:$I$1,0)),MMWQI!$A$2:$A$400,$C14))</f>
        <v>89</v>
      </c>
      <c r="R14" s="22">
        <f>SUMIF(LCC!$B$2:$B$200,$D14,LCC!$D$2:$D$200)</f>
        <v>141</v>
      </c>
      <c r="S14" s="24">
        <f>IF(R14&gt;0,IF(CTRS_Control!$C$11="SITES",SUMPRODUCT((LCC!$B$2:$B$200=$D14)*LCC!$D$2:$D$200*LCC!$F$2:$F$200)/R14,AVERAGEIFS(LCC!$F$2:$F$200,LCC!$B$2:$B$200,$D14)),IF(AND(U14=1,V14=1),IF(CTRS_Control!$C$19="ZERO",0,IF(CTRS_Control!$C$19="NO_STRESS",100,"")),""))</f>
        <v>43.307375886524824</v>
      </c>
      <c r="T14" s="23"/>
      <c r="U14" s="22">
        <f>IF(COUNTIF(hotel_location_2025!$A$2:$A$110,$B14)&gt;0,1,0)</f>
        <v>1</v>
      </c>
      <c r="V14" s="22">
        <f t="shared" si="1"/>
        <v>1</v>
      </c>
      <c r="W14" s="22">
        <f t="shared" si="2"/>
        <v>1</v>
      </c>
      <c r="X14" s="22">
        <f t="shared" si="3"/>
        <v>1</v>
      </c>
      <c r="Y14" s="22">
        <f t="shared" si="4"/>
        <v>1</v>
      </c>
      <c r="Z14" s="8">
        <f>IF(Y14=1,IFERROR(IF(CTRS_Control!$C$9="MINMAX",(M14-MIN($M$5:$M$18))/(MAX($M$5:$M$18)-MIN($M$5:$M$18)),M14/MAX($M$5:$M$18)),0),"")</f>
        <v>0.14027091743720072</v>
      </c>
      <c r="AA14" s="8">
        <f>IF(Y14=1,IF(AND(R14=0,CTRS_Control!$C$19="MMWQI_ONLY"),1-O14/100,CTRS_Control!$C$15*(1-O14/100)+CTRS_Control!$C$16*(1-S14/100)),"")</f>
        <v>0.41096312056737588</v>
      </c>
      <c r="AB14" s="8">
        <f>IF(Y14=1,IF(ISNUMBER(CTRS_Z!$H14),CTRS_Z!$H14,0),"")</f>
        <v>0.11766119120136984</v>
      </c>
      <c r="AC14" s="8">
        <f>IF(Y14=1,CTRS_Control!$C$12*Z14+CTRS_Control!$C$13*AA14-CTRS_Control!$C$14*AB14,"")</f>
        <v>0.14452428226773559</v>
      </c>
      <c r="AD14" s="8">
        <f>IF(Y14=1,(AC14+CTRS_Control!$C$14)/(CTRS_Control!$C$12+CTRS_Control!$C$13+CTRS_Control!$C$14),"")</f>
        <v>0.47785761560106887</v>
      </c>
      <c r="AE14" s="22">
        <f>IF(Y14=1,RANK(AC14,$AC$5:$AC$18,0)+COUNTIF($AC$5:AC14,AC14)-1,"")</f>
        <v>10</v>
      </c>
      <c r="AF14" s="6" t="str">
        <f>IF(U14=0,"No hotel data",IF(V14=0,"No MMWQI stations",IF(AND(W14=0,CTRS_Control!$C$19="EXCLUDE"),"No LCC sites",IF(AND(CTRS_Control!$C$8="TOURISTS",X14=0),"No tourist count",TRIM(IF(AH14=1,"No LCC data → substituted ("&amp;CTRS_Control!$C$19&amp;"). ","")&amp;IF(F14&lt;&gt;G14,"Hotels: reported total "&amp;F14&amp;" ≠ sum of categories "&amp;G14&amp;". ","")&amp;IF(I14&lt;&gt;SUMPRODUCT((hotel_location_2025!$A$2:$A$110=$B14)*(hotel_location_2025!$B$2:$B$110&lt;&gt;"Jumlah/ Total")*hotel_location_2025!$D$2:$D$110),"Rooms: reported total "&amp;I14&amp;" ≠ sum of categories "&amp;SUMPRODUCT((hotel_location_2025!$A$2:$A$110=$B14)*(hotel_location_2025!$B$2:$B$110&lt;&gt;"Jumlah/ Total")*hotel_location_2025!$D$2:$D$110),""))))))</f>
        <v/>
      </c>
      <c r="AG14" s="22">
        <f>U14*V14*IF(OR(W14=1,CTRS_Control!$C$19&lt;&gt;"EXCLUDE"),1,0)</f>
        <v>1</v>
      </c>
      <c r="AH14" s="22">
        <f t="shared" si="5"/>
        <v>0</v>
      </c>
    </row>
    <row r="15" spans="1:34" x14ac:dyDescent="0.35">
      <c r="A15" s="11" t="s">
        <v>91</v>
      </c>
      <c r="B15" s="13" t="s">
        <v>91</v>
      </c>
      <c r="C15" s="13" t="s">
        <v>91</v>
      </c>
      <c r="D15" s="13" t="s">
        <v>91</v>
      </c>
      <c r="E15" s="20">
        <f>SUMPRODUCT((hotel_location_2025!$A$2:$A$110=$B15)*(hotel_location_2025!$B$2:$B$110="Pantai/ Beach")*hotel_location_2025!$C$2:$C$110)</f>
        <v>5</v>
      </c>
      <c r="F15" s="20">
        <f>SUMPRODUCT((hotel_location_2025!$A$2:$A$110=$B15)*(hotel_location_2025!$B$2:$B$110="Jumlah/ Total")*hotel_location_2025!$C$2:$C$110)</f>
        <v>390</v>
      </c>
      <c r="G15" s="20">
        <f>SUMPRODUCT((hotel_location_2025!$A$2:$A$110=$B15)*(hotel_location_2025!$B$2:$B$110&lt;&gt;"Jumlah/ Total")*hotel_location_2025!$C$2:$C$110)</f>
        <v>390</v>
      </c>
      <c r="H15" s="20">
        <f>SUMPRODUCT((hotel_location_2025!$A$2:$A$110=$B15)*(hotel_location_2025!$B$2:$B$110="Pantai/ Beach")*hotel_location_2025!$D$2:$D$110)</f>
        <v>967</v>
      </c>
      <c r="I15" s="20">
        <f>SUMPRODUCT((hotel_location_2025!$A$2:$A$110=$B15)*(hotel_location_2025!$B$2:$B$110="Jumlah/ Total")*hotel_location_2025!$D$2:$D$110)</f>
        <v>22065</v>
      </c>
      <c r="J15" s="7">
        <f>IF(U15=0,"",IFERROR(IF(CTRS_Control!$C$5="ROOMS",H15/I15,E15/IF(CTRS_Control!$C$6="SUM_CATEGORIES",G15,F15)),""))</f>
        <v>1.282051282051282E-2</v>
      </c>
      <c r="K15" s="17">
        <f>IF(ISNUMBER(INDEX(CTRS_Inputs!$D$6:$D$19,MATCH($A15,CTRS_Inputs!$A$6:$A$19,0))),INDEX(CTRS_Inputs!$D$6:$D$19,MATCH($A15,CTRS_Inputs!$A$6:$A$19,0)),"")</f>
        <v>6329.8940000000002</v>
      </c>
      <c r="L15" s="17">
        <f t="shared" si="0"/>
        <v>81.152487179487181</v>
      </c>
      <c r="M15" s="21">
        <f>IF(AG15=0,"",IF(CTRS_Control!$C$8="TOURISTS",IF(ISNUMBER(L15),L15,""),J15))</f>
        <v>81.152487179487181</v>
      </c>
      <c r="N15" s="22">
        <f>COUNTIF(MMWQI!$A$2:$A$400,$C15)</f>
        <v>23</v>
      </c>
      <c r="O15" s="23">
        <f>IF(N15=0,"",AVERAGEIFS(INDEX(MMWQI!$E$2:$I$400,0,MATCH(VALUE(CTRS_Control!$C$10),MMWQI!$E$1:$I$1,0)),MMWQI!$A$2:$A$400,$C15))</f>
        <v>76.521739130434781</v>
      </c>
      <c r="P15" s="23">
        <f>IF(N15=0,"",_xlfn.MINIFS(INDEX(MMWQI!$E$2:$I$400,0,MATCH(VALUE(CTRS_Control!$C$10),MMWQI!$E$1:$I$1,0)),MMWQI!$A$2:$A$400,$C15))</f>
        <v>65</v>
      </c>
      <c r="Q15" s="23">
        <f>IF(N15=0,"",_xlfn.MAXIFS(INDEX(MMWQI!$E$2:$I$400,0,MATCH(VALUE(CTRS_Control!$C$10),MMWQI!$E$1:$I$1,0)),MMWQI!$A$2:$A$400,$C15))</f>
        <v>89</v>
      </c>
      <c r="R15" s="22">
        <f>SUMIF(LCC!$B$2:$B$200,$D15,LCC!$D$2:$D$200)</f>
        <v>4</v>
      </c>
      <c r="S15" s="24">
        <f>IF(R15&gt;0,IF(CTRS_Control!$C$11="SITES",SUMPRODUCT((LCC!$B$2:$B$200=$D15)*LCC!$D$2:$D$200*LCC!$F$2:$F$200)/R15,AVERAGEIFS(LCC!$F$2:$F$200,LCC!$B$2:$B$200,$D15)),IF(AND(U15=1,V15=1),IF(CTRS_Control!$C$19="ZERO",0,IF(CTRS_Control!$C$19="NO_STRESS",100,"")),""))</f>
        <v>48.59</v>
      </c>
      <c r="T15" s="23"/>
      <c r="U15" s="22">
        <f>IF(COUNTIF(hotel_location_2025!$A$2:$A$110,$B15)&gt;0,1,0)</f>
        <v>1</v>
      </c>
      <c r="V15" s="22">
        <f t="shared" si="1"/>
        <v>1</v>
      </c>
      <c r="W15" s="22">
        <f t="shared" si="2"/>
        <v>1</v>
      </c>
      <c r="X15" s="22">
        <f t="shared" si="3"/>
        <v>1</v>
      </c>
      <c r="Y15" s="22">
        <f t="shared" si="4"/>
        <v>1</v>
      </c>
      <c r="Z15" s="8">
        <f>IF(Y15=1,IFERROR(IF(CTRS_Control!$C$9="MINMAX",(M15-MIN($M$5:$M$18))/(MAX($M$5:$M$18)-MIN($M$5:$M$18)),M15/MAX($M$5:$M$18)),0),"")</f>
        <v>2.6055473522097916E-2</v>
      </c>
      <c r="AA15" s="8">
        <f>IF(Y15=1,IF(AND(R15=0,CTRS_Control!$C$19="MMWQI_ONLY"),1-O15/100,CTRS_Control!$C$15*(1-O15/100)+CTRS_Control!$C$16*(1-S15/100)),"")</f>
        <v>0.37444130434782608</v>
      </c>
      <c r="AB15" s="8">
        <f>IF(Y15=1,IF(ISNUMBER(CTRS_Z!$H15),CTRS_Z!$H15,0),"")</f>
        <v>0.34069737649542287</v>
      </c>
      <c r="AC15" s="8">
        <f>IF(Y15=1,CTRS_Control!$C$12*Z15+CTRS_Control!$C$13*AA15-CTRS_Control!$C$14*AB15,"")</f>
        <v>1.9933133791500385E-2</v>
      </c>
      <c r="AD15" s="8">
        <f>IF(Y15=1,(AC15+CTRS_Control!$C$14)/(CTRS_Control!$C$12+CTRS_Control!$C$13+CTRS_Control!$C$14),"")</f>
        <v>0.35326646712483367</v>
      </c>
      <c r="AE15" s="22">
        <f>IF(Y15=1,RANK(AC15,$AC$5:$AC$18,0)+COUNTIF($AC$5:AC15,AC15)-1,"")</f>
        <v>13</v>
      </c>
      <c r="AF15" s="6" t="str">
        <f>IF(U15=0,"No hotel data",IF(V15=0,"No MMWQI stations",IF(AND(W15=0,CTRS_Control!$C$19="EXCLUDE"),"No LCC sites",IF(AND(CTRS_Control!$C$8="TOURISTS",X15=0),"No tourist count",TRIM(IF(AH15=1,"No LCC data → substituted ("&amp;CTRS_Control!$C$19&amp;"). ","")&amp;IF(F15&lt;&gt;G15,"Hotels: reported total "&amp;F15&amp;" ≠ sum of categories "&amp;G15&amp;". ","")&amp;IF(I15&lt;&gt;SUMPRODUCT((hotel_location_2025!$A$2:$A$110=$B15)*(hotel_location_2025!$B$2:$B$110&lt;&gt;"Jumlah/ Total")*hotel_location_2025!$D$2:$D$110),"Rooms: reported total "&amp;I15&amp;" ≠ sum of categories "&amp;SUMPRODUCT((hotel_location_2025!$A$2:$A$110=$B15)*(hotel_location_2025!$B$2:$B$110&lt;&gt;"Jumlah/ Total")*hotel_location_2025!$D$2:$D$110),""))))))</f>
        <v/>
      </c>
      <c r="AG15" s="22">
        <f>U15*V15*IF(OR(W15=1,CTRS_Control!$C$19&lt;&gt;"EXCLUDE"),1,0)</f>
        <v>1</v>
      </c>
      <c r="AH15" s="22">
        <f t="shared" si="5"/>
        <v>0</v>
      </c>
    </row>
    <row r="16" spans="1:34" x14ac:dyDescent="0.35">
      <c r="A16" s="11" t="s">
        <v>92</v>
      </c>
      <c r="B16" s="13" t="s">
        <v>92</v>
      </c>
      <c r="C16" s="13" t="s">
        <v>92</v>
      </c>
      <c r="D16" s="13" t="s">
        <v>92</v>
      </c>
      <c r="E16" s="20">
        <f>SUMPRODUCT((hotel_location_2025!$A$2:$A$110=$B16)*(hotel_location_2025!$B$2:$B$110="Pantai/ Beach")*hotel_location_2025!$C$2:$C$110)</f>
        <v>9</v>
      </c>
      <c r="F16" s="20">
        <f>SUMPRODUCT((hotel_location_2025!$A$2:$A$110=$B16)*(hotel_location_2025!$B$2:$B$110="Jumlah/ Total")*hotel_location_2025!$C$2:$C$110)</f>
        <v>211</v>
      </c>
      <c r="G16" s="20">
        <f>SUMPRODUCT((hotel_location_2025!$A$2:$A$110=$B16)*(hotel_location_2025!$B$2:$B$110&lt;&gt;"Jumlah/ Total")*hotel_location_2025!$C$2:$C$110)</f>
        <v>211</v>
      </c>
      <c r="H16" s="20">
        <f>SUMPRODUCT((hotel_location_2025!$A$2:$A$110=$B16)*(hotel_location_2025!$B$2:$B$110="Pantai/ Beach")*hotel_location_2025!$D$2:$D$110)</f>
        <v>803</v>
      </c>
      <c r="I16" s="20">
        <f>SUMPRODUCT((hotel_location_2025!$A$2:$A$110=$B16)*(hotel_location_2025!$B$2:$B$110="Jumlah/ Total")*hotel_location_2025!$D$2:$D$110)</f>
        <v>26781</v>
      </c>
      <c r="J16" s="7">
        <f>IF(U16=0,"",IFERROR(IF(CTRS_Control!$C$5="ROOMS",H16/I16,E16/IF(CTRS_Control!$C$6="SUM_CATEGORIES",G16,F16)),""))</f>
        <v>4.2654028436018961E-2</v>
      </c>
      <c r="K16" s="17">
        <f>IF(ISNUMBER(INDEX(CTRS_Inputs!$D$6:$D$19,MATCH($A16,CTRS_Inputs!$A$6:$A$19,0))),INDEX(CTRS_Inputs!$D$6:$D$19,MATCH($A16,CTRS_Inputs!$A$6:$A$19,0)),"")</f>
        <v>10595.556</v>
      </c>
      <c r="L16" s="17">
        <f t="shared" si="0"/>
        <v>451.94314691943134</v>
      </c>
      <c r="M16" s="21">
        <f>IF(AG16=0,"",IF(CTRS_Control!$C$8="TOURISTS",IF(ISNUMBER(L16),L16,""),J16))</f>
        <v>451.94314691943134</v>
      </c>
      <c r="N16" s="22">
        <f>COUNTIF(MMWQI!$A$2:$A$400,$C16)</f>
        <v>6</v>
      </c>
      <c r="O16" s="23">
        <f>IF(N16=0,"",AVERAGEIFS(INDEX(MMWQI!$E$2:$I$400,0,MATCH(VALUE(CTRS_Control!$C$10),MMWQI!$E$1:$I$1,0)),MMWQI!$A$2:$A$400,$C16))</f>
        <v>72.833333333333329</v>
      </c>
      <c r="P16" s="23">
        <f>IF(N16=0,"",_xlfn.MINIFS(INDEX(MMWQI!$E$2:$I$400,0,MATCH(VALUE(CTRS_Control!$C$10),MMWQI!$E$1:$I$1,0)),MMWQI!$A$2:$A$400,$C16))</f>
        <v>55</v>
      </c>
      <c r="Q16" s="23">
        <f>IF(N16=0,"",_xlfn.MAXIFS(INDEX(MMWQI!$E$2:$I$400,0,MATCH(VALUE(CTRS_Control!$C$10),MMWQI!$E$1:$I$1,0)),MMWQI!$A$2:$A$400,$C16))</f>
        <v>91</v>
      </c>
      <c r="R16" s="22">
        <f>SUMIF(LCC!$B$2:$B$200,$D16,LCC!$D$2:$D$200)</f>
        <v>0</v>
      </c>
      <c r="S16" s="24">
        <f>IF(R16&gt;0,IF(CTRS_Control!$C$11="SITES",SUMPRODUCT((LCC!$B$2:$B$200=$D16)*LCC!$D$2:$D$200*LCC!$F$2:$F$200)/R16,AVERAGEIFS(LCC!$F$2:$F$200,LCC!$B$2:$B$200,$D16)),IF(AND(U16=1,V16=1),IF(CTRS_Control!$C$19="ZERO",0,IF(CTRS_Control!$C$19="NO_STRESS",100,"")),""))</f>
        <v>0</v>
      </c>
      <c r="T16" s="23"/>
      <c r="U16" s="22">
        <f>IF(COUNTIF(hotel_location_2025!$A$2:$A$110,$B16)&gt;0,1,0)</f>
        <v>1</v>
      </c>
      <c r="V16" s="22">
        <f t="shared" si="1"/>
        <v>1</v>
      </c>
      <c r="W16" s="22">
        <f t="shared" si="2"/>
        <v>0</v>
      </c>
      <c r="X16" s="22">
        <f t="shared" si="3"/>
        <v>1</v>
      </c>
      <c r="Y16" s="22">
        <f t="shared" si="4"/>
        <v>1</v>
      </c>
      <c r="Z16" s="8">
        <f>IF(Y16=1,IFERROR(IF(CTRS_Control!$C$9="MINMAX",(M16-MIN($M$5:$M$18))/(MAX($M$5:$M$18)-MIN($M$5:$M$18)),M16/MAX($M$5:$M$18)),0),"")</f>
        <v>0.14510451998850574</v>
      </c>
      <c r="AA16" s="8">
        <f>IF(Y16=1,IF(AND(R16=0,CTRS_Control!$C$19="MMWQI_ONLY"),1-O16/100,CTRS_Control!$C$15*(1-O16/100)+CTRS_Control!$C$16*(1-S16/100)),"")</f>
        <v>0.63583333333333336</v>
      </c>
      <c r="AB16" s="8">
        <f>IF(Y16=1,IF(ISNUMBER(CTRS_Z!$H16),CTRS_Z!$H16,0),"")</f>
        <v>0</v>
      </c>
      <c r="AC16" s="8">
        <f>IF(Y16=1,CTRS_Control!$C$12*Z16+CTRS_Control!$C$13*AA16-CTRS_Control!$C$14*AB16,"")</f>
        <v>0.26031261777394632</v>
      </c>
      <c r="AD16" s="8">
        <f>IF(Y16=1,(AC16+CTRS_Control!$C$14)/(CTRS_Control!$C$12+CTRS_Control!$C$13+CTRS_Control!$C$14),"")</f>
        <v>0.59364595110727958</v>
      </c>
      <c r="AE16" s="22">
        <f>IF(Y16=1,RANK(AC16,$AC$5:$AC$18,0)+COUNTIF($AC$5:AC16,AC16)-1,"")</f>
        <v>6</v>
      </c>
      <c r="AF16" s="6" t="str">
        <f>IF(U16=0,"No hotel data",IF(V16=0,"No MMWQI stations",IF(AND(W16=0,CTRS_Control!$C$19="EXCLUDE"),"No LCC sites",IF(AND(CTRS_Control!$C$8="TOURISTS",X16=0),"No tourist count",TRIM(IF(AH16=1,"No LCC data → substituted ("&amp;CTRS_Control!$C$19&amp;"). ","")&amp;IF(F16&lt;&gt;G16,"Hotels: reported total "&amp;F16&amp;" ≠ sum of categories "&amp;G16&amp;". ","")&amp;IF(I16&lt;&gt;SUMPRODUCT((hotel_location_2025!$A$2:$A$110=$B16)*(hotel_location_2025!$B$2:$B$110&lt;&gt;"Jumlah/ Total")*hotel_location_2025!$D$2:$D$110),"Rooms: reported total "&amp;I16&amp;" ≠ sum of categories "&amp;SUMPRODUCT((hotel_location_2025!$A$2:$A$110=$B16)*(hotel_location_2025!$B$2:$B$110&lt;&gt;"Jumlah/ Total")*hotel_location_2025!$D$2:$D$110),""))))))</f>
        <v>No LCC data → substituted (ZERO).</v>
      </c>
      <c r="AG16" s="22">
        <f>U16*V16*IF(OR(W16=1,CTRS_Control!$C$19&lt;&gt;"EXCLUDE"),1,0)</f>
        <v>1</v>
      </c>
      <c r="AH16" s="22">
        <f t="shared" si="5"/>
        <v>1</v>
      </c>
    </row>
    <row r="17" spans="1:34" x14ac:dyDescent="0.35">
      <c r="A17" s="11" t="s">
        <v>93</v>
      </c>
      <c r="B17" s="13" t="s">
        <v>93</v>
      </c>
      <c r="C17" s="13" t="s">
        <v>93</v>
      </c>
      <c r="D17" s="13" t="s">
        <v>93</v>
      </c>
      <c r="E17" s="20">
        <f>SUMPRODUCT((hotel_location_2025!$A$2:$A$110=$B17)*(hotel_location_2025!$B$2:$B$110="Pantai/ Beach")*hotel_location_2025!$C$2:$C$110)</f>
        <v>137</v>
      </c>
      <c r="F17" s="20">
        <f>SUMPRODUCT((hotel_location_2025!$A$2:$A$110=$B17)*(hotel_location_2025!$B$2:$B$110="Jumlah/ Total")*hotel_location_2025!$C$2:$C$110)</f>
        <v>251</v>
      </c>
      <c r="G17" s="20">
        <f>SUMPRODUCT((hotel_location_2025!$A$2:$A$110=$B17)*(hotel_location_2025!$B$2:$B$110&lt;&gt;"Jumlah/ Total")*hotel_location_2025!$C$2:$C$110)</f>
        <v>251</v>
      </c>
      <c r="H17" s="20">
        <f>SUMPRODUCT((hotel_location_2025!$A$2:$A$110=$B17)*(hotel_location_2025!$B$2:$B$110="Pantai/ Beach")*hotel_location_2025!$D$2:$D$110)</f>
        <v>6422</v>
      </c>
      <c r="I17" s="20">
        <f>SUMPRODUCT((hotel_location_2025!$A$2:$A$110=$B17)*(hotel_location_2025!$B$2:$B$110="Jumlah/ Total")*hotel_location_2025!$D$2:$D$110)</f>
        <v>11667</v>
      </c>
      <c r="J17" s="7">
        <f>IF(U17=0,"",IFERROR(IF(CTRS_Control!$C$5="ROOMS",H17/I17,E17/IF(CTRS_Control!$C$6="SUM_CATEGORIES",G17,F17)),""))</f>
        <v>0.54581673306772904</v>
      </c>
      <c r="K17" s="17">
        <f>IF(ISNUMBER(INDEX(CTRS_Inputs!$D$6:$D$19,MATCH($A17,CTRS_Inputs!$A$6:$A$19,0))),INDEX(CTRS_Inputs!$D$6:$D$19,MATCH($A17,CTRS_Inputs!$A$6:$A$19,0)),"")</f>
        <v>5239.6419999999998</v>
      </c>
      <c r="L17" s="17">
        <f t="shared" si="0"/>
        <v>2859.8842788844618</v>
      </c>
      <c r="M17" s="21">
        <f>IF(AG17=0,"",IF(CTRS_Control!$C$8="TOURISTS",IF(ISNUMBER(L17),L17,""),J17))</f>
        <v>2859.8842788844618</v>
      </c>
      <c r="N17" s="22">
        <f>COUNTIF(MMWQI!$A$2:$A$400,$C17)</f>
        <v>16</v>
      </c>
      <c r="O17" s="23">
        <f>IF(N17=0,"",AVERAGEIFS(INDEX(MMWQI!$E$2:$I$400,0,MATCH(VALUE(CTRS_Control!$C$10),MMWQI!$E$1:$I$1,0)),MMWQI!$A$2:$A$400,$C17))</f>
        <v>94.3125</v>
      </c>
      <c r="P17" s="23">
        <f>IF(N17=0,"",_xlfn.MINIFS(INDEX(MMWQI!$E$2:$I$400,0,MATCH(VALUE(CTRS_Control!$C$10),MMWQI!$E$1:$I$1,0)),MMWQI!$A$2:$A$400,$C17))</f>
        <v>89</v>
      </c>
      <c r="Q17" s="23">
        <f>IF(N17=0,"",_xlfn.MAXIFS(INDEX(MMWQI!$E$2:$I$400,0,MATCH(VALUE(CTRS_Control!$C$10),MMWQI!$E$1:$I$1,0)),MMWQI!$A$2:$A$400,$C17))</f>
        <v>96</v>
      </c>
      <c r="R17" s="22">
        <f>SUMIF(LCC!$B$2:$B$200,$D17,LCC!$D$2:$D$200)</f>
        <v>46</v>
      </c>
      <c r="S17" s="24">
        <f>IF(R17&gt;0,IF(CTRS_Control!$C$11="SITES",SUMPRODUCT((LCC!$B$2:$B$200=$D17)*LCC!$D$2:$D$200*LCC!$F$2:$F$200)/R17,AVERAGEIFS(LCC!$F$2:$F$200,LCC!$B$2:$B$200,$D17)),IF(AND(U17=1,V17=1),IF(CTRS_Control!$C$19="ZERO",0,IF(CTRS_Control!$C$19="NO_STRESS",100,"")),""))</f>
        <v>48.500652173913039</v>
      </c>
      <c r="T17" s="23"/>
      <c r="U17" s="22">
        <f>IF(COUNTIF(hotel_location_2025!$A$2:$A$110,$B17)&gt;0,1,0)</f>
        <v>1</v>
      </c>
      <c r="V17" s="22">
        <f t="shared" si="1"/>
        <v>1</v>
      </c>
      <c r="W17" s="22">
        <f t="shared" si="2"/>
        <v>1</v>
      </c>
      <c r="X17" s="22">
        <f t="shared" si="3"/>
        <v>1</v>
      </c>
      <c r="Y17" s="22">
        <f t="shared" si="4"/>
        <v>1</v>
      </c>
      <c r="Z17" s="8">
        <f>IF(Y17=1,IFERROR(IF(CTRS_Control!$C$9="MINMAX",(M17-MIN($M$5:$M$18))/(MAX($M$5:$M$18)-MIN($M$5:$M$18)),M17/MAX($M$5:$M$18)),0),"")</f>
        <v>0.91821756417557365</v>
      </c>
      <c r="AA17" s="8">
        <f>IF(Y17=1,IF(AND(R17=0,CTRS_Control!$C$19="MMWQI_ONLY"),1-O17/100,CTRS_Control!$C$15*(1-O17/100)+CTRS_Control!$C$16*(1-S17/100)),"")</f>
        <v>0.28593423913043481</v>
      </c>
      <c r="AB17" s="8">
        <f>IF(Y17=1,IF(ISNUMBER(CTRS_Z!$H17),CTRS_Z!$H17,0),"")</f>
        <v>0.25417177943566005</v>
      </c>
      <c r="AC17" s="8">
        <f>IF(Y17=1,CTRS_Control!$C$12*Z17+CTRS_Control!$C$13*AA17-CTRS_Control!$C$14*AB17,"")</f>
        <v>0.31666000795678284</v>
      </c>
      <c r="AD17" s="8">
        <f>IF(Y17=1,(AC17+CTRS_Control!$C$14)/(CTRS_Control!$C$12+CTRS_Control!$C$13+CTRS_Control!$C$14),"")</f>
        <v>0.64999334129011621</v>
      </c>
      <c r="AE17" s="22">
        <f>IF(Y17=1,RANK(AC17,$AC$5:$AC$18,0)+COUNTIF($AC$5:AC17,AC17)-1,"")</f>
        <v>3</v>
      </c>
      <c r="AF17" s="6" t="str">
        <f>IF(U17=0,"No hotel data",IF(V17=0,"No MMWQI stations",IF(AND(W17=0,CTRS_Control!$C$19="EXCLUDE"),"No LCC sites",IF(AND(CTRS_Control!$C$8="TOURISTS",X17=0),"No tourist count",TRIM(IF(AH17=1,"No LCC data → substituted ("&amp;CTRS_Control!$C$19&amp;"). ","")&amp;IF(F17&lt;&gt;G17,"Hotels: reported total "&amp;F17&amp;" ≠ sum of categories "&amp;G17&amp;". ","")&amp;IF(I17&lt;&gt;SUMPRODUCT((hotel_location_2025!$A$2:$A$110=$B17)*(hotel_location_2025!$B$2:$B$110&lt;&gt;"Jumlah/ Total")*hotel_location_2025!$D$2:$D$110),"Rooms: reported total "&amp;I17&amp;" ≠ sum of categories "&amp;SUMPRODUCT((hotel_location_2025!$A$2:$A$110=$B17)*(hotel_location_2025!$B$2:$B$110&lt;&gt;"Jumlah/ Total")*hotel_location_2025!$D$2:$D$110),""))))))</f>
        <v>Rooms: reported total 11667 ≠ sum of categories 11677</v>
      </c>
      <c r="AG17" s="22">
        <f>U17*V17*IF(OR(W17=1,CTRS_Control!$C$19&lt;&gt;"EXCLUDE"),1,0)</f>
        <v>1</v>
      </c>
      <c r="AH17" s="22">
        <f t="shared" si="5"/>
        <v>0</v>
      </c>
    </row>
    <row r="18" spans="1:34" x14ac:dyDescent="0.35">
      <c r="A18" s="11" t="s">
        <v>94</v>
      </c>
      <c r="B18" s="13" t="s">
        <v>94</v>
      </c>
      <c r="C18" s="13" t="s">
        <v>94</v>
      </c>
      <c r="D18" s="13" t="s">
        <v>94</v>
      </c>
      <c r="E18" s="20">
        <f>SUMPRODUCT((hotel_location_2025!$A$2:$A$110=$B18)*(hotel_location_2025!$B$2:$B$110="Pantai/ Beach")*hotel_location_2025!$C$2:$C$110)</f>
        <v>2</v>
      </c>
      <c r="F18" s="20">
        <f>SUMPRODUCT((hotel_location_2025!$A$2:$A$110=$B18)*(hotel_location_2025!$B$2:$B$110="Jumlah/ Total")*hotel_location_2025!$C$2:$C$110)</f>
        <v>43</v>
      </c>
      <c r="G18" s="20">
        <f>SUMPRODUCT((hotel_location_2025!$A$2:$A$110=$B18)*(hotel_location_2025!$B$2:$B$110&lt;&gt;"Jumlah/ Total")*hotel_location_2025!$C$2:$C$110)</f>
        <v>43</v>
      </c>
      <c r="H18" s="20">
        <f>SUMPRODUCT((hotel_location_2025!$A$2:$A$110=$B18)*(hotel_location_2025!$B$2:$B$110="Pantai/ Beach")*hotel_location_2025!$D$2:$D$110)</f>
        <v>215</v>
      </c>
      <c r="I18" s="20">
        <f>SUMPRODUCT((hotel_location_2025!$A$2:$A$110=$B18)*(hotel_location_2025!$B$2:$B$110="Jumlah/ Total")*hotel_location_2025!$D$2:$D$110)</f>
        <v>1858</v>
      </c>
      <c r="J18" s="7">
        <f>IF(U18=0,"",IFERROR(IF(CTRS_Control!$C$5="ROOMS",H18/I18,E18/IF(CTRS_Control!$C$6="SUM_CATEGORIES",G18,F18)),""))</f>
        <v>4.6511627906976744E-2</v>
      </c>
      <c r="K18" s="17">
        <f>IF(ISNUMBER(INDEX(CTRS_Inputs!$D$6:$D$19,MATCH($A18,CTRS_Inputs!$A$6:$A$19,0))),INDEX(CTRS_Inputs!$D$6:$D$19,MATCH($A18,CTRS_Inputs!$A$6:$A$19,0)),"")</f>
        <v>266.78500000000003</v>
      </c>
      <c r="L18" s="17">
        <f t="shared" si="0"/>
        <v>12.408604651162792</v>
      </c>
      <c r="M18" s="21">
        <f>IF(AG18=0,"",IF(CTRS_Control!$C$8="TOURISTS",IF(ISNUMBER(L18),L18,""),J18))</f>
        <v>12.408604651162792</v>
      </c>
      <c r="N18" s="22">
        <f>COUNTIF(MMWQI!$A$2:$A$400,$C18)</f>
        <v>5</v>
      </c>
      <c r="O18" s="23">
        <f>IF(N18=0,"",AVERAGEIFS(INDEX(MMWQI!$E$2:$I$400,0,MATCH(VALUE(CTRS_Control!$C$10),MMWQI!$E$1:$I$1,0)),MMWQI!$A$2:$A$400,$C18))</f>
        <v>79.2</v>
      </c>
      <c r="P18" s="23">
        <f>IF(N18=0,"",_xlfn.MINIFS(INDEX(MMWQI!$E$2:$I$400,0,MATCH(VALUE(CTRS_Control!$C$10),MMWQI!$E$1:$I$1,0)),MMWQI!$A$2:$A$400,$C18))</f>
        <v>71</v>
      </c>
      <c r="Q18" s="23">
        <f>IF(N18=0,"",_xlfn.MAXIFS(INDEX(MMWQI!$E$2:$I$400,0,MATCH(VALUE(CTRS_Control!$C$10),MMWQI!$E$1:$I$1,0)),MMWQI!$A$2:$A$400,$C18))</f>
        <v>88</v>
      </c>
      <c r="R18" s="22">
        <f>SUMIF(LCC!$B$2:$B$200,$D18,LCC!$D$2:$D$200)</f>
        <v>0</v>
      </c>
      <c r="S18" s="24">
        <f>IF(R18&gt;0,IF(CTRS_Control!$C$11="SITES",SUMPRODUCT((LCC!$B$2:$B$200=$D18)*LCC!$D$2:$D$200*LCC!$F$2:$F$200)/R18,AVERAGEIFS(LCC!$F$2:$F$200,LCC!$B$2:$B$200,$D18)),IF(AND(U18=1,V18=1),IF(CTRS_Control!$C$19="ZERO",0,IF(CTRS_Control!$C$19="NO_STRESS",100,"")),""))</f>
        <v>0</v>
      </c>
      <c r="T18" s="23"/>
      <c r="U18" s="22">
        <f>IF(COUNTIF(hotel_location_2025!$A$2:$A$110,$B18)&gt;0,1,0)</f>
        <v>1</v>
      </c>
      <c r="V18" s="22">
        <f t="shared" si="1"/>
        <v>1</v>
      </c>
      <c r="W18" s="22">
        <f t="shared" si="2"/>
        <v>0</v>
      </c>
      <c r="X18" s="22">
        <f t="shared" si="3"/>
        <v>1</v>
      </c>
      <c r="Y18" s="22">
        <f t="shared" si="4"/>
        <v>1</v>
      </c>
      <c r="Z18" s="8">
        <f>IF(Y18=1,IFERROR(IF(CTRS_Control!$C$9="MINMAX",(M18-MIN($M$5:$M$18))/(MAX($M$5:$M$18)-MIN($M$5:$M$18)),M18/MAX($M$5:$M$18)),0),"")</f>
        <v>3.9840069130533855E-3</v>
      </c>
      <c r="AA18" s="8">
        <f>IF(Y18=1,IF(AND(R18=0,CTRS_Control!$C$19="MMWQI_ONLY"),1-O18/100,CTRS_Control!$C$15*(1-O18/100)+CTRS_Control!$C$16*(1-S18/100)),"")</f>
        <v>0.60399999999999998</v>
      </c>
      <c r="AB18" s="8">
        <f>IF(Y18=1,IF(ISNUMBER(CTRS_Z!$H18),CTRS_Z!$H18,0),"")</f>
        <v>5.1691251600274997E-2</v>
      </c>
      <c r="AC18" s="8">
        <f>IF(Y18=1,CTRS_Control!$C$12*Z18+CTRS_Control!$C$13*AA18-CTRS_Control!$C$14*AB18,"")</f>
        <v>0.18543091843759277</v>
      </c>
      <c r="AD18" s="8">
        <f>IF(Y18=1,(AC18+CTRS_Control!$C$14)/(CTRS_Control!$C$12+CTRS_Control!$C$13+CTRS_Control!$C$14),"")</f>
        <v>0.51876425177092611</v>
      </c>
      <c r="AE18" s="22">
        <f>IF(Y18=1,RANK(AC18,$AC$5:$AC$18,0)+COUNTIF($AC$5:AC18,AC18)-1,"")</f>
        <v>9</v>
      </c>
      <c r="AF18" s="6" t="str">
        <f>IF(U18=0,"No hotel data",IF(V18=0,"No MMWQI stations",IF(AND(W18=0,CTRS_Control!$C$19="EXCLUDE"),"No LCC sites",IF(AND(CTRS_Control!$C$8="TOURISTS",X18=0),"No tourist count",TRIM(IF(AH18=1,"No LCC data → substituted ("&amp;CTRS_Control!$C$19&amp;"). ","")&amp;IF(F18&lt;&gt;G18,"Hotels: reported total "&amp;F18&amp;" ≠ sum of categories "&amp;G18&amp;". ","")&amp;IF(I18&lt;&gt;SUMPRODUCT((hotel_location_2025!$A$2:$A$110=$B18)*(hotel_location_2025!$B$2:$B$110&lt;&gt;"Jumlah/ Total")*hotel_location_2025!$D$2:$D$110),"Rooms: reported total "&amp;I18&amp;" ≠ sum of categories "&amp;SUMPRODUCT((hotel_location_2025!$A$2:$A$110=$B18)*(hotel_location_2025!$B$2:$B$110&lt;&gt;"Jumlah/ Total")*hotel_location_2025!$D$2:$D$110),""))))))</f>
        <v>No LCC data → substituted (ZERO).</v>
      </c>
      <c r="AG18" s="22">
        <f>U18*V18*IF(OR(W18=1,CTRS_Control!$C$19&lt;&gt;"EXCLUDE"),1,0)</f>
        <v>1</v>
      </c>
      <c r="AH18" s="22">
        <f t="shared" si="5"/>
        <v>1</v>
      </c>
    </row>
    <row r="20" spans="1:34" x14ac:dyDescent="0.35">
      <c r="A20" s="11" t="s">
        <v>126</v>
      </c>
    </row>
    <row r="21" spans="1:34" x14ac:dyDescent="0.35">
      <c r="A21" s="6" t="s">
        <v>127</v>
      </c>
    </row>
    <row r="22" spans="1:34" x14ac:dyDescent="0.35">
      <c r="A22" s="6" t="s">
        <v>128</v>
      </c>
    </row>
    <row r="23" spans="1:34" x14ac:dyDescent="0.35">
      <c r="A23" s="6" t="s">
        <v>129</v>
      </c>
    </row>
    <row r="24" spans="1:34" x14ac:dyDescent="0.35">
      <c r="A24" s="6" t="s">
        <v>130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sheetPr>
  <dimension ref="A1:H48"/>
  <sheetViews>
    <sheetView workbookViewId="0">
      <pane xSplit="1" ySplit="5" topLeftCell="B6" activePane="bottomRight" state="frozen"/>
      <selection pane="topRight"/>
      <selection pane="bottomLeft"/>
      <selection pane="bottomRight"/>
    </sheetView>
  </sheetViews>
  <sheetFormatPr defaultRowHeight="14.5" x14ac:dyDescent="0.35"/>
  <cols>
    <col min="1" max="1" width="20" customWidth="1"/>
    <col min="2" max="8" width="13" customWidth="1"/>
  </cols>
  <sheetData>
    <row r="1" spans="1:8" ht="18" x14ac:dyDescent="0.4">
      <c r="A1" s="1" t="s">
        <v>131</v>
      </c>
    </row>
    <row r="2" spans="1:8" x14ac:dyDescent="0.35">
      <c r="A2" s="2" t="str">
        <f>CTRS_Calc!A2</f>
        <v>X method in use: TOURISTS</v>
      </c>
    </row>
    <row r="5" spans="1:8" x14ac:dyDescent="0.35">
      <c r="A5" s="4" t="s">
        <v>3</v>
      </c>
      <c r="B5" s="4" t="s">
        <v>4</v>
      </c>
      <c r="C5" s="4" t="s">
        <v>5</v>
      </c>
      <c r="D5" s="4" t="s">
        <v>108</v>
      </c>
      <c r="E5" s="4" t="s">
        <v>112</v>
      </c>
      <c r="F5" s="4" t="s">
        <v>6</v>
      </c>
      <c r="G5" s="4" t="s">
        <v>7</v>
      </c>
      <c r="H5" s="4" t="s">
        <v>8</v>
      </c>
    </row>
    <row r="6" spans="1:8" x14ac:dyDescent="0.35">
      <c r="A6" s="6" t="str">
        <f>CTRS_Calc!A5</f>
        <v>Johor</v>
      </c>
      <c r="B6" s="7">
        <f>IF(CTRS_Calc!$Y5=1,CTRS_Calc!J5,"")</f>
        <v>0.13508064516129031</v>
      </c>
      <c r="C6" s="8">
        <f>IF(CTRS_Calc!$Y5=1,CTRS_Calc!Z5,"")</f>
        <v>0.42597662653454393</v>
      </c>
      <c r="D6" s="23">
        <f>IF(CTRS_Calc!$Y5=1,CTRS_Calc!O5,"")</f>
        <v>82.379310344827587</v>
      </c>
      <c r="E6" s="24">
        <f>IF(AND(CTRS_Calc!$Y5=1,CTRS_Calc!$R5&gt;0),CTRS_Calc!S5,"")</f>
        <v>54.880238095238091</v>
      </c>
      <c r="F6" s="8">
        <f>IF(CTRS_Calc!$Y5=1,CTRS_Calc!AA5,"")</f>
        <v>0.31370225779967165</v>
      </c>
      <c r="G6" s="8">
        <f>IF(AND(CTRS_Calc!$Y5=1,ISNUMBER(CTRS_Z!$H5)),CTRS_Calc!AB5,"")</f>
        <v>0.17832115844592411</v>
      </c>
      <c r="H6" s="8">
        <f>IF(CTRS_Calc!$Y5=1,CTRS_Calc!AC5,"")</f>
        <v>0.18711924196276383</v>
      </c>
    </row>
    <row r="7" spans="1:8" x14ac:dyDescent="0.35">
      <c r="A7" s="6" t="str">
        <f>CTRS_Calc!A6</f>
        <v>Kedah</v>
      </c>
      <c r="B7" s="7">
        <f>IF(CTRS_Calc!$Y6=1,CTRS_Calc!J6,"")</f>
        <v>0.39664804469273746</v>
      </c>
      <c r="C7" s="8">
        <f>IF(CTRS_Calc!$Y6=1,CTRS_Calc!Z6,"")</f>
        <v>0.90735633149270334</v>
      </c>
      <c r="D7" s="23">
        <f>IF(CTRS_Calc!$Y6=1,CTRS_Calc!O6,"")</f>
        <v>94.222222222222229</v>
      </c>
      <c r="E7" s="24">
        <f>IF(AND(CTRS_Calc!$Y6=1,CTRS_Calc!$R6&gt;0),CTRS_Calc!S6,"")</f>
        <v>58.858333333333341</v>
      </c>
      <c r="F7" s="8">
        <f>IF(CTRS_Calc!$Y6=1,CTRS_Calc!AA6,"")</f>
        <v>0.23459722222222212</v>
      </c>
      <c r="G7" s="8">
        <f>IF(AND(CTRS_Calc!$Y6=1,ISNUMBER(CTRS_Z!$H6)),CTRS_Calc!AB6,"")</f>
        <v>2.9259081815590175E-2</v>
      </c>
      <c r="H7" s="8">
        <f>IF(CTRS_Calc!$Y6=1,CTRS_Calc!AC6,"")</f>
        <v>0.37089815729977843</v>
      </c>
    </row>
    <row r="8" spans="1:8" x14ac:dyDescent="0.35">
      <c r="A8" s="6" t="str">
        <f>CTRS_Calc!A7</f>
        <v>Kelantan</v>
      </c>
      <c r="B8" s="7">
        <f>IF(CTRS_Calc!$Y7=1,CTRS_Calc!J7,"")</f>
        <v>0.17582417582417584</v>
      </c>
      <c r="C8" s="8">
        <f>IF(CTRS_Calc!$Y7=1,CTRS_Calc!Z7,"")</f>
        <v>0.36761970953330148</v>
      </c>
      <c r="D8" s="23">
        <f>IF(CTRS_Calc!$Y7=1,CTRS_Calc!O7,"")</f>
        <v>94.5</v>
      </c>
      <c r="E8" s="24" t="str">
        <f>IF(AND(CTRS_Calc!$Y7=1,CTRS_Calc!$R7&gt;0),CTRS_Calc!S7,"")</f>
        <v/>
      </c>
      <c r="F8" s="8">
        <f>IF(CTRS_Calc!$Y7=1,CTRS_Calc!AA7,"")</f>
        <v>0.52750000000000008</v>
      </c>
      <c r="G8" s="8" t="str">
        <f>IF(AND(CTRS_Calc!$Y7=1,ISNUMBER(CTRS_Z!$H7)),CTRS_Calc!AB7,"")</f>
        <v/>
      </c>
      <c r="H8" s="8">
        <f>IF(CTRS_Calc!$Y7=1,CTRS_Calc!AC7,"")</f>
        <v>0.29837323651110048</v>
      </c>
    </row>
    <row r="9" spans="1:8" x14ac:dyDescent="0.35">
      <c r="A9" s="6" t="str">
        <f>CTRS_Calc!A8</f>
        <v>Melaka</v>
      </c>
      <c r="B9" s="7">
        <f>IF(CTRS_Calc!$Y8=1,CTRS_Calc!J8,"")</f>
        <v>0.1270718232044199</v>
      </c>
      <c r="C9" s="8">
        <f>IF(CTRS_Calc!$Y8=1,CTRS_Calc!Z8,"")</f>
        <v>0.29288128965584348</v>
      </c>
      <c r="D9" s="23">
        <f>IF(CTRS_Calc!$Y8=1,CTRS_Calc!O8,"")</f>
        <v>80.888888888888886</v>
      </c>
      <c r="E9" s="24">
        <f>IF(AND(CTRS_Calc!$Y8=1,CTRS_Calc!$R8&gt;0),CTRS_Calc!S8,"")</f>
        <v>30.130000000000003</v>
      </c>
      <c r="F9" s="8">
        <f>IF(CTRS_Calc!$Y8=1,CTRS_Calc!AA8,"")</f>
        <v>0.44490555555555555</v>
      </c>
      <c r="G9" s="8">
        <f>IF(AND(CTRS_Calc!$Y8=1,ISNUMBER(CTRS_Z!$H8)),CTRS_Calc!AB8,"")</f>
        <v>0.66325506722857708</v>
      </c>
      <c r="H9" s="8">
        <f>IF(CTRS_Calc!$Y8=1,CTRS_Calc!AC8,"")</f>
        <v>2.4843925994273985E-2</v>
      </c>
    </row>
    <row r="10" spans="1:8" x14ac:dyDescent="0.35">
      <c r="A10" s="6" t="str">
        <f>CTRS_Calc!A9</f>
        <v>Negeri Sembilan</v>
      </c>
      <c r="B10" s="7">
        <f>IF(CTRS_Calc!$Y9=1,CTRS_Calc!J9,"")</f>
        <v>0.24374999999999999</v>
      </c>
      <c r="C10" s="8">
        <f>IF(CTRS_Calc!$Y9=1,CTRS_Calc!Z9,"")</f>
        <v>0.51237228085992725</v>
      </c>
      <c r="D10" s="23">
        <f>IF(CTRS_Calc!$Y9=1,CTRS_Calc!O9,"")</f>
        <v>91.857142857142861</v>
      </c>
      <c r="E10" s="24">
        <f>IF(AND(CTRS_Calc!$Y9=1,CTRS_Calc!$R9&gt;0),CTRS_Calc!S9,"")</f>
        <v>16.559999999999999</v>
      </c>
      <c r="F10" s="8">
        <f>IF(CTRS_Calc!$Y9=1,CTRS_Calc!AA9,"")</f>
        <v>0.45791428571428572</v>
      </c>
      <c r="G10" s="8">
        <f>IF(AND(CTRS_Calc!$Y9=1,ISNUMBER(CTRS_Z!$H9)),CTRS_Calc!AB9,"")</f>
        <v>0.54556922106590977</v>
      </c>
      <c r="H10" s="8">
        <f>IF(CTRS_Calc!$Y9=1,CTRS_Calc!AC9,"")</f>
        <v>0.14157244850276773</v>
      </c>
    </row>
    <row r="11" spans="1:8" x14ac:dyDescent="0.35">
      <c r="A11" s="6" t="str">
        <f>CTRS_Calc!A10</f>
        <v>Pahang</v>
      </c>
      <c r="B11" s="7">
        <f>IF(CTRS_Calc!$Y10=1,CTRS_Calc!J10,"")</f>
        <v>0.28196721311475409</v>
      </c>
      <c r="C11" s="8">
        <f>IF(CTRS_Calc!$Y10=1,CTRS_Calc!Z10,"")</f>
        <v>1</v>
      </c>
      <c r="D11" s="23">
        <f>IF(CTRS_Calc!$Y10=1,CTRS_Calc!O10,"")</f>
        <v>93.36363636363636</v>
      </c>
      <c r="E11" s="24">
        <f>IF(AND(CTRS_Calc!$Y10=1,CTRS_Calc!$R10&gt;0),CTRS_Calc!S10,"")</f>
        <v>53.34</v>
      </c>
      <c r="F11" s="8">
        <f>IF(CTRS_Calc!$Y10=1,CTRS_Calc!AA10,"")</f>
        <v>0.26648181818181821</v>
      </c>
      <c r="G11" s="8">
        <f>IF(AND(CTRS_Calc!$Y10=1,ISNUMBER(CTRS_Z!$H10)),CTRS_Calc!AB10,"")</f>
        <v>4.7504366497127748E-2</v>
      </c>
      <c r="H11" s="8">
        <f>IF(CTRS_Calc!$Y10=1,CTRS_Calc!AC10,"")</f>
        <v>0.40632581722823008</v>
      </c>
    </row>
    <row r="12" spans="1:8" x14ac:dyDescent="0.35">
      <c r="A12" s="6" t="str">
        <f>CTRS_Calc!A11</f>
        <v>Perak</v>
      </c>
      <c r="B12" s="7">
        <f>IF(CTRS_Calc!$Y11=1,CTRS_Calc!J11,"")</f>
        <v>0.14956011730205279</v>
      </c>
      <c r="C12" s="8">
        <f>IF(CTRS_Calc!$Y11=1,CTRS_Calc!Z11,"")</f>
        <v>0.50006101654971369</v>
      </c>
      <c r="D12" s="23">
        <f>IF(CTRS_Calc!$Y11=1,CTRS_Calc!O11,"")</f>
        <v>93.375</v>
      </c>
      <c r="E12" s="24">
        <f>IF(AND(CTRS_Calc!$Y11=1,CTRS_Calc!$R11&gt;0),CTRS_Calc!S11,"")</f>
        <v>32.503999999999998</v>
      </c>
      <c r="F12" s="8">
        <f>IF(CTRS_Calc!$Y11=1,CTRS_Calc!AA11,"")</f>
        <v>0.37060500000000002</v>
      </c>
      <c r="G12" s="8">
        <f>IF(AND(CTRS_Calc!$Y11=1,ISNUMBER(CTRS_Z!$H11)),CTRS_Calc!AB11,"")</f>
        <v>0</v>
      </c>
      <c r="H12" s="8">
        <f>IF(CTRS_Calc!$Y11=1,CTRS_Calc!AC11,"")</f>
        <v>0.29022200551657124</v>
      </c>
    </row>
    <row r="13" spans="1:8" x14ac:dyDescent="0.35">
      <c r="A13" s="6" t="str">
        <f>CTRS_Calc!A12</f>
        <v>Perlis</v>
      </c>
      <c r="B13" s="7" t="str">
        <f>IF(CTRS_Calc!$Y12=1,CTRS_Calc!J12,"")</f>
        <v/>
      </c>
      <c r="C13" s="8" t="str">
        <f>IF(CTRS_Calc!$Y12=1,CTRS_Calc!Z12,"")</f>
        <v/>
      </c>
      <c r="D13" s="23" t="str">
        <f>IF(CTRS_Calc!$Y12=1,CTRS_Calc!O12,"")</f>
        <v/>
      </c>
      <c r="E13" s="24" t="str">
        <f>IF(AND(CTRS_Calc!$Y12=1,CTRS_Calc!$R12&gt;0),CTRS_Calc!S12,"")</f>
        <v/>
      </c>
      <c r="F13" s="8" t="str">
        <f>IF(CTRS_Calc!$Y12=1,CTRS_Calc!AA12,"")</f>
        <v/>
      </c>
      <c r="G13" s="8" t="str">
        <f>IF(AND(CTRS_Calc!$Y12=1,ISNUMBER(CTRS_Z!$H12)),CTRS_Calc!AB12,"")</f>
        <v/>
      </c>
      <c r="H13" s="8" t="str">
        <f>IF(CTRS_Calc!$Y12=1,CTRS_Calc!AC12,"")</f>
        <v/>
      </c>
    </row>
    <row r="14" spans="1:8" x14ac:dyDescent="0.35">
      <c r="A14" s="6" t="str">
        <f>CTRS_Calc!A13</f>
        <v>Pulau Pinang</v>
      </c>
      <c r="B14" s="7">
        <f>IF(CTRS_Calc!$Y13=1,CTRS_Calc!J13,"")</f>
        <v>8.3003952569169967E-2</v>
      </c>
      <c r="C14" s="8">
        <f>IF(CTRS_Calc!$Y13=1,CTRS_Calc!Z13,"")</f>
        <v>0.15002689704648406</v>
      </c>
      <c r="D14" s="23">
        <f>IF(CTRS_Calc!$Y13=1,CTRS_Calc!O13,"")</f>
        <v>81.470588235294116</v>
      </c>
      <c r="E14" s="24" t="str">
        <f>IF(AND(CTRS_Calc!$Y13=1,CTRS_Calc!$R13&gt;0),CTRS_Calc!S13,"")</f>
        <v/>
      </c>
      <c r="F14" s="8">
        <f>IF(CTRS_Calc!$Y13=1,CTRS_Calc!AA13,"")</f>
        <v>0.59264705882352942</v>
      </c>
      <c r="G14" s="8" t="str">
        <f>IF(AND(CTRS_Calc!$Y13=1,ISNUMBER(CTRS_Z!$H13)),CTRS_Calc!AB13,"")</f>
        <v/>
      </c>
      <c r="H14" s="8">
        <f>IF(CTRS_Calc!$Y13=1,CTRS_Calc!AC13,"")</f>
        <v>0.24755798529000447</v>
      </c>
    </row>
    <row r="15" spans="1:8" x14ac:dyDescent="0.35">
      <c r="A15" s="6" t="str">
        <f>CTRS_Calc!A14</f>
        <v>Sabah</v>
      </c>
      <c r="B15" s="7">
        <f>IF(CTRS_Calc!$Y14=1,CTRS_Calc!J14,"")</f>
        <v>5.9360730593607303E-2</v>
      </c>
      <c r="C15" s="8">
        <f>IF(CTRS_Calc!$Y14=1,CTRS_Calc!Z14,"")</f>
        <v>0.14027091743720072</v>
      </c>
      <c r="D15" s="23">
        <f>IF(CTRS_Calc!$Y14=1,CTRS_Calc!O14,"")</f>
        <v>74.5</v>
      </c>
      <c r="E15" s="24">
        <f>IF(AND(CTRS_Calc!$Y14=1,CTRS_Calc!$R14&gt;0),CTRS_Calc!S14,"")</f>
        <v>43.307375886524824</v>
      </c>
      <c r="F15" s="8">
        <f>IF(CTRS_Calc!$Y14=1,CTRS_Calc!AA14,"")</f>
        <v>0.41096312056737588</v>
      </c>
      <c r="G15" s="8">
        <f>IF(AND(CTRS_Calc!$Y14=1,ISNUMBER(CTRS_Z!$H14)),CTRS_Calc!AB14,"")</f>
        <v>0.11766119120136984</v>
      </c>
      <c r="H15" s="8">
        <f>IF(CTRS_Calc!$Y14=1,CTRS_Calc!AC14,"")</f>
        <v>0.14452428226773559</v>
      </c>
    </row>
    <row r="16" spans="1:8" x14ac:dyDescent="0.35">
      <c r="A16" s="6" t="str">
        <f>CTRS_Calc!A15</f>
        <v>Sarawak</v>
      </c>
      <c r="B16" s="7">
        <f>IF(CTRS_Calc!$Y15=1,CTRS_Calc!J15,"")</f>
        <v>1.282051282051282E-2</v>
      </c>
      <c r="C16" s="8">
        <f>IF(CTRS_Calc!$Y15=1,CTRS_Calc!Z15,"")</f>
        <v>2.6055473522097916E-2</v>
      </c>
      <c r="D16" s="23">
        <f>IF(CTRS_Calc!$Y15=1,CTRS_Calc!O15,"")</f>
        <v>76.521739130434781</v>
      </c>
      <c r="E16" s="24">
        <f>IF(AND(CTRS_Calc!$Y15=1,CTRS_Calc!$R15&gt;0),CTRS_Calc!S15,"")</f>
        <v>48.59</v>
      </c>
      <c r="F16" s="8">
        <f>IF(CTRS_Calc!$Y15=1,CTRS_Calc!AA15,"")</f>
        <v>0.37444130434782608</v>
      </c>
      <c r="G16" s="8">
        <f>IF(AND(CTRS_Calc!$Y15=1,ISNUMBER(CTRS_Z!$H15)),CTRS_Calc!AB15,"")</f>
        <v>0.34069737649542287</v>
      </c>
      <c r="H16" s="8">
        <f>IF(CTRS_Calc!$Y15=1,CTRS_Calc!AC15,"")</f>
        <v>1.9933133791500385E-2</v>
      </c>
    </row>
    <row r="17" spans="1:8" x14ac:dyDescent="0.35">
      <c r="A17" s="6" t="str">
        <f>CTRS_Calc!A16</f>
        <v>Selangor</v>
      </c>
      <c r="B17" s="7">
        <f>IF(CTRS_Calc!$Y16=1,CTRS_Calc!J16,"")</f>
        <v>4.2654028436018961E-2</v>
      </c>
      <c r="C17" s="8">
        <f>IF(CTRS_Calc!$Y16=1,CTRS_Calc!Z16,"")</f>
        <v>0.14510451998850574</v>
      </c>
      <c r="D17" s="23">
        <f>IF(CTRS_Calc!$Y16=1,CTRS_Calc!O16,"")</f>
        <v>72.833333333333329</v>
      </c>
      <c r="E17" s="24" t="str">
        <f>IF(AND(CTRS_Calc!$Y16=1,CTRS_Calc!$R16&gt;0),CTRS_Calc!S16,"")</f>
        <v/>
      </c>
      <c r="F17" s="8">
        <f>IF(CTRS_Calc!$Y16=1,CTRS_Calc!AA16,"")</f>
        <v>0.63583333333333336</v>
      </c>
      <c r="G17" s="8">
        <f>IF(AND(CTRS_Calc!$Y16=1,ISNUMBER(CTRS_Z!$H16)),CTRS_Calc!AB16,"")</f>
        <v>0</v>
      </c>
      <c r="H17" s="8">
        <f>IF(CTRS_Calc!$Y16=1,CTRS_Calc!AC16,"")</f>
        <v>0.26031261777394632</v>
      </c>
    </row>
    <row r="18" spans="1:8" x14ac:dyDescent="0.35">
      <c r="A18" s="6" t="str">
        <f>CTRS_Calc!A17</f>
        <v>Terengganu</v>
      </c>
      <c r="B18" s="7">
        <f>IF(CTRS_Calc!$Y17=1,CTRS_Calc!J17,"")</f>
        <v>0.54581673306772904</v>
      </c>
      <c r="C18" s="8">
        <f>IF(CTRS_Calc!$Y17=1,CTRS_Calc!Z17,"")</f>
        <v>0.91821756417557365</v>
      </c>
      <c r="D18" s="23">
        <f>IF(CTRS_Calc!$Y17=1,CTRS_Calc!O17,"")</f>
        <v>94.3125</v>
      </c>
      <c r="E18" s="24">
        <f>IF(AND(CTRS_Calc!$Y17=1,CTRS_Calc!$R17&gt;0),CTRS_Calc!S17,"")</f>
        <v>48.500652173913039</v>
      </c>
      <c r="F18" s="8">
        <f>IF(CTRS_Calc!$Y17=1,CTRS_Calc!AA17,"")</f>
        <v>0.28593423913043481</v>
      </c>
      <c r="G18" s="8">
        <f>IF(AND(CTRS_Calc!$Y17=1,ISNUMBER(CTRS_Z!$H17)),CTRS_Calc!AB17,"")</f>
        <v>0.25417177943566005</v>
      </c>
      <c r="H18" s="8">
        <f>IF(CTRS_Calc!$Y17=1,CTRS_Calc!AC17,"")</f>
        <v>0.31666000795678284</v>
      </c>
    </row>
    <row r="19" spans="1:8" x14ac:dyDescent="0.35">
      <c r="A19" s="6" t="str">
        <f>CTRS_Calc!A18</f>
        <v>W.P. Labuan</v>
      </c>
      <c r="B19" s="7">
        <f>IF(CTRS_Calc!$Y18=1,CTRS_Calc!J18,"")</f>
        <v>4.6511627906976744E-2</v>
      </c>
      <c r="C19" s="8">
        <f>IF(CTRS_Calc!$Y18=1,CTRS_Calc!Z18,"")</f>
        <v>3.9840069130533855E-3</v>
      </c>
      <c r="D19" s="23">
        <f>IF(CTRS_Calc!$Y18=1,CTRS_Calc!O18,"")</f>
        <v>79.2</v>
      </c>
      <c r="E19" s="24" t="str">
        <f>IF(AND(CTRS_Calc!$Y18=1,CTRS_Calc!$R18&gt;0),CTRS_Calc!S18,"")</f>
        <v/>
      </c>
      <c r="F19" s="8">
        <f>IF(CTRS_Calc!$Y18=1,CTRS_Calc!AA18,"")</f>
        <v>0.60399999999999998</v>
      </c>
      <c r="G19" s="8">
        <f>IF(AND(CTRS_Calc!$Y18=1,ISNUMBER(CTRS_Z!$H18)),CTRS_Calc!AB18,"")</f>
        <v>5.1691251600274997E-2</v>
      </c>
      <c r="H19" s="8">
        <f>IF(CTRS_Calc!$Y18=1,CTRS_Calc!AC18,"")</f>
        <v>0.18543091843759277</v>
      </c>
    </row>
    <row r="22" spans="1:8" x14ac:dyDescent="0.35">
      <c r="A22" s="11" t="s">
        <v>132</v>
      </c>
    </row>
    <row r="23" spans="1:8" x14ac:dyDescent="0.35">
      <c r="A23" s="4" t="s">
        <v>133</v>
      </c>
      <c r="B23" s="4" t="s">
        <v>4</v>
      </c>
      <c r="C23" s="4" t="s">
        <v>5</v>
      </c>
      <c r="D23" s="4" t="s">
        <v>108</v>
      </c>
      <c r="E23" s="4" t="s">
        <v>112</v>
      </c>
      <c r="F23" s="4" t="s">
        <v>6</v>
      </c>
      <c r="G23" s="4" t="s">
        <v>7</v>
      </c>
      <c r="H23" s="4" t="s">
        <v>8</v>
      </c>
    </row>
    <row r="24" spans="1:8" x14ac:dyDescent="0.35">
      <c r="A24" s="11" t="s">
        <v>134</v>
      </c>
      <c r="B24" s="22">
        <f t="shared" ref="B24:H24" si="0">IFERROR(COUNT(B$6:B$19),"")</f>
        <v>13</v>
      </c>
      <c r="C24" s="22">
        <f t="shared" si="0"/>
        <v>13</v>
      </c>
      <c r="D24" s="22">
        <f t="shared" si="0"/>
        <v>13</v>
      </c>
      <c r="E24" s="22">
        <f t="shared" si="0"/>
        <v>9</v>
      </c>
      <c r="F24" s="22">
        <f t="shared" si="0"/>
        <v>13</v>
      </c>
      <c r="G24" s="22">
        <f t="shared" si="0"/>
        <v>11</v>
      </c>
      <c r="H24" s="22">
        <f t="shared" si="0"/>
        <v>13</v>
      </c>
    </row>
    <row r="25" spans="1:8" x14ac:dyDescent="0.35">
      <c r="A25" s="11" t="s">
        <v>135</v>
      </c>
      <c r="B25" s="7">
        <f t="shared" ref="B25:H25" si="1">IFERROR(AVERAGE(B$6:B$19),"")</f>
        <v>0.17692843113026502</v>
      </c>
      <c r="C25" s="8">
        <f t="shared" si="1"/>
        <v>0.41460974105453452</v>
      </c>
      <c r="D25" s="23">
        <f t="shared" si="1"/>
        <v>85.340335490444645</v>
      </c>
      <c r="E25" s="24">
        <f t="shared" si="1"/>
        <v>42.963399943223259</v>
      </c>
      <c r="F25" s="8">
        <f t="shared" si="1"/>
        <v>0.4245788612058502</v>
      </c>
      <c r="G25" s="8">
        <f t="shared" si="1"/>
        <v>0.20255731761689608</v>
      </c>
      <c r="H25" s="8">
        <f t="shared" si="1"/>
        <v>0.22259798296408068</v>
      </c>
    </row>
    <row r="26" spans="1:8" x14ac:dyDescent="0.35">
      <c r="A26" s="11" t="s">
        <v>136</v>
      </c>
      <c r="B26" s="7">
        <f t="shared" ref="B26:H26" si="2">IFERROR(STDEV(B$6:B$19),"")</f>
        <v>0.15530997411617201</v>
      </c>
      <c r="C26" s="8">
        <f t="shared" si="2"/>
        <v>0.34285603938242437</v>
      </c>
      <c r="D26" s="23">
        <f t="shared" si="2"/>
        <v>8.4046237251952416</v>
      </c>
      <c r="E26" s="24">
        <f t="shared" si="2"/>
        <v>13.856436264004008</v>
      </c>
      <c r="F26" s="8">
        <f t="shared" si="2"/>
        <v>0.1339777634544265</v>
      </c>
      <c r="G26" s="8">
        <f t="shared" si="2"/>
        <v>0.22766955319737808</v>
      </c>
      <c r="H26" s="8">
        <f t="shared" si="2"/>
        <v>0.11987399498023189</v>
      </c>
    </row>
    <row r="27" spans="1:8" x14ac:dyDescent="0.35">
      <c r="A27" s="11" t="s">
        <v>137</v>
      </c>
      <c r="B27" s="7">
        <f t="shared" ref="B27:H27" si="3">IFERROR(MIN(B$6:B$19),"")</f>
        <v>1.282051282051282E-2</v>
      </c>
      <c r="C27" s="8">
        <f t="shared" si="3"/>
        <v>3.9840069130533855E-3</v>
      </c>
      <c r="D27" s="23">
        <f t="shared" si="3"/>
        <v>72.833333333333329</v>
      </c>
      <c r="E27" s="24">
        <f t="shared" si="3"/>
        <v>16.559999999999999</v>
      </c>
      <c r="F27" s="8">
        <f t="shared" si="3"/>
        <v>0.23459722222222212</v>
      </c>
      <c r="G27" s="8">
        <f t="shared" si="3"/>
        <v>0</v>
      </c>
      <c r="H27" s="8">
        <f t="shared" si="3"/>
        <v>1.9933133791500385E-2</v>
      </c>
    </row>
    <row r="28" spans="1:8" x14ac:dyDescent="0.35">
      <c r="A28" s="11" t="s">
        <v>138</v>
      </c>
      <c r="B28" s="7">
        <f t="shared" ref="B28:H28" si="4">IFERROR(QUARTILE(B$6:B$19,1),"")</f>
        <v>5.9360730593607303E-2</v>
      </c>
      <c r="C28" s="8">
        <f t="shared" si="4"/>
        <v>0.14510451998850574</v>
      </c>
      <c r="D28" s="23">
        <f t="shared" si="4"/>
        <v>79.2</v>
      </c>
      <c r="E28" s="24">
        <f t="shared" si="4"/>
        <v>32.503999999999998</v>
      </c>
      <c r="F28" s="8">
        <f t="shared" si="4"/>
        <v>0.31370225779967165</v>
      </c>
      <c r="G28" s="8">
        <f t="shared" si="4"/>
        <v>3.838172415635896E-2</v>
      </c>
      <c r="H28" s="8">
        <f t="shared" si="4"/>
        <v>0.14452428226773559</v>
      </c>
    </row>
    <row r="29" spans="1:8" x14ac:dyDescent="0.35">
      <c r="A29" s="11" t="s">
        <v>139</v>
      </c>
      <c r="B29" s="7">
        <f t="shared" ref="B29:H29" si="5">IFERROR(MEDIAN(B$6:B$19),"")</f>
        <v>0.13508064516129031</v>
      </c>
      <c r="C29" s="8">
        <f t="shared" si="5"/>
        <v>0.36761970953330148</v>
      </c>
      <c r="D29" s="23">
        <f t="shared" si="5"/>
        <v>82.379310344827587</v>
      </c>
      <c r="E29" s="24">
        <f t="shared" si="5"/>
        <v>48.500652173913039</v>
      </c>
      <c r="F29" s="8">
        <f t="shared" si="5"/>
        <v>0.41096312056737588</v>
      </c>
      <c r="G29" s="8">
        <f t="shared" si="5"/>
        <v>0.11766119120136984</v>
      </c>
      <c r="H29" s="8">
        <f t="shared" si="5"/>
        <v>0.24755798529000447</v>
      </c>
    </row>
    <row r="30" spans="1:8" x14ac:dyDescent="0.35">
      <c r="A30" s="11" t="s">
        <v>140</v>
      </c>
      <c r="B30" s="7">
        <f t="shared" ref="B30:H30" si="6">IFERROR(QUARTILE(B$6:B$19,3),"")</f>
        <v>0.24374999999999999</v>
      </c>
      <c r="C30" s="8">
        <f t="shared" si="6"/>
        <v>0.51237228085992725</v>
      </c>
      <c r="D30" s="23">
        <f t="shared" si="6"/>
        <v>93.375</v>
      </c>
      <c r="E30" s="24">
        <f t="shared" si="6"/>
        <v>53.34</v>
      </c>
      <c r="F30" s="8">
        <f t="shared" si="6"/>
        <v>0.52750000000000008</v>
      </c>
      <c r="G30" s="8">
        <f t="shared" si="6"/>
        <v>0.29743457796554146</v>
      </c>
      <c r="H30" s="8">
        <f t="shared" si="6"/>
        <v>0.29837323651110048</v>
      </c>
    </row>
    <row r="31" spans="1:8" x14ac:dyDescent="0.35">
      <c r="A31" s="11" t="s">
        <v>141</v>
      </c>
      <c r="B31" s="7">
        <f t="shared" ref="B31:H31" si="7">IFERROR(MAX(B$6:B$19),"")</f>
        <v>0.54581673306772904</v>
      </c>
      <c r="C31" s="8">
        <f t="shared" si="7"/>
        <v>1</v>
      </c>
      <c r="D31" s="23">
        <f t="shared" si="7"/>
        <v>94.5</v>
      </c>
      <c r="E31" s="24">
        <f t="shared" si="7"/>
        <v>58.858333333333341</v>
      </c>
      <c r="F31" s="8">
        <f t="shared" si="7"/>
        <v>0.63583333333333336</v>
      </c>
      <c r="G31" s="8">
        <f t="shared" si="7"/>
        <v>0.66325506722857708</v>
      </c>
      <c r="H31" s="8">
        <f t="shared" si="7"/>
        <v>0.40632581722823008</v>
      </c>
    </row>
    <row r="32" spans="1:8" x14ac:dyDescent="0.35">
      <c r="A32" s="11" t="s">
        <v>142</v>
      </c>
      <c r="B32" s="7">
        <f t="shared" ref="B32:H32" si="8">IFERROR(MAX(B$6:B$19)-MIN(B$6:B$19),"")</f>
        <v>0.53299622024721627</v>
      </c>
      <c r="C32" s="8">
        <f t="shared" si="8"/>
        <v>0.99601599308694666</v>
      </c>
      <c r="D32" s="23">
        <f t="shared" si="8"/>
        <v>21.666666666666671</v>
      </c>
      <c r="E32" s="24">
        <f t="shared" si="8"/>
        <v>42.298333333333346</v>
      </c>
      <c r="F32" s="8">
        <f t="shared" si="8"/>
        <v>0.40123611111111124</v>
      </c>
      <c r="G32" s="8">
        <f t="shared" si="8"/>
        <v>0.66325506722857708</v>
      </c>
      <c r="H32" s="8">
        <f t="shared" si="8"/>
        <v>0.38639268343672972</v>
      </c>
    </row>
    <row r="33" spans="1:8" x14ac:dyDescent="0.35">
      <c r="A33" s="11" t="s">
        <v>143</v>
      </c>
      <c r="B33" s="24">
        <f t="shared" ref="B33:H33" si="9">IFERROR(STDEV(B$6:B$19)/AVERAGE(B$6:B$19),"")</f>
        <v>0.87781241897648299</v>
      </c>
      <c r="C33" s="24">
        <f t="shared" si="9"/>
        <v>0.82693676832191887</v>
      </c>
      <c r="D33" s="24">
        <f t="shared" si="9"/>
        <v>9.8483603057036115E-2</v>
      </c>
      <c r="E33" s="24">
        <f t="shared" si="9"/>
        <v>0.32251721889597856</v>
      </c>
      <c r="F33" s="24">
        <f t="shared" si="9"/>
        <v>0.31555448397481461</v>
      </c>
      <c r="G33" s="24">
        <f t="shared" si="9"/>
        <v>1.1239759485163487</v>
      </c>
      <c r="H33" s="24">
        <f t="shared" si="9"/>
        <v>0.53852237735494335</v>
      </c>
    </row>
    <row r="34" spans="1:8" x14ac:dyDescent="0.35">
      <c r="A34" s="11" t="s">
        <v>144</v>
      </c>
      <c r="B34" s="24">
        <f t="shared" ref="B34:H34" si="10">IFERROR(SKEW(B$6:B$19),"")</f>
        <v>1.3284354087501673</v>
      </c>
      <c r="C34" s="24">
        <f t="shared" si="10"/>
        <v>0.63772635828530244</v>
      </c>
      <c r="D34" s="24">
        <f t="shared" si="10"/>
        <v>-0.13542542011716921</v>
      </c>
      <c r="E34" s="24">
        <f t="shared" si="10"/>
        <v>-0.87540224706496705</v>
      </c>
      <c r="F34" s="24">
        <f t="shared" si="10"/>
        <v>0.2442522572311514</v>
      </c>
      <c r="G34" s="24">
        <f t="shared" si="10"/>
        <v>1.1527088112278463</v>
      </c>
      <c r="H34" s="24">
        <f t="shared" si="10"/>
        <v>-0.34602438411627995</v>
      </c>
    </row>
    <row r="35" spans="1:8" x14ac:dyDescent="0.35">
      <c r="A35" s="11" t="s">
        <v>145</v>
      </c>
      <c r="B35" s="24">
        <f t="shared" ref="B35:H35" si="11">IFERROR(KURT(B$6:B$19),"")</f>
        <v>1.4302346100002539</v>
      </c>
      <c r="C35" s="24">
        <f t="shared" si="11"/>
        <v>-0.85261258025106246</v>
      </c>
      <c r="D35" s="24">
        <f t="shared" si="11"/>
        <v>-1.818924595546934</v>
      </c>
      <c r="E35" s="24">
        <f t="shared" si="11"/>
        <v>-4.7373550214472537E-2</v>
      </c>
      <c r="F35" s="24">
        <f t="shared" si="11"/>
        <v>-1.1875189626234461</v>
      </c>
      <c r="G35" s="24">
        <f t="shared" si="11"/>
        <v>0.24681007100154062</v>
      </c>
      <c r="H35" s="24">
        <f t="shared" si="11"/>
        <v>-0.55005358151905037</v>
      </c>
    </row>
    <row r="38" spans="1:8" x14ac:dyDescent="0.35">
      <c r="A38" s="11" t="s">
        <v>146</v>
      </c>
    </row>
    <row r="39" spans="1:8" x14ac:dyDescent="0.35">
      <c r="A39" s="4"/>
      <c r="B39" s="4" t="s">
        <v>5</v>
      </c>
      <c r="C39" s="4" t="s">
        <v>147</v>
      </c>
      <c r="D39" s="4" t="s">
        <v>148</v>
      </c>
      <c r="E39" s="4" t="s">
        <v>6</v>
      </c>
      <c r="F39" s="4" t="s">
        <v>7</v>
      </c>
      <c r="G39" s="4" t="s">
        <v>8</v>
      </c>
    </row>
    <row r="40" spans="1:8" x14ac:dyDescent="0.35">
      <c r="A40" s="11" t="s">
        <v>5</v>
      </c>
      <c r="B40" s="24">
        <f>IFERROR(CORREL(C$6:C$19,C$6:C$19),"")</f>
        <v>0.99999999999999989</v>
      </c>
      <c r="C40" s="24">
        <f>IFERROR(CORREL(C$6:C$19,D$6:D$19),"")</f>
        <v>0.81869498732078771</v>
      </c>
      <c r="D40" s="24">
        <f>IFERROR(CORREL(C$6:C$19,E$6:E$19),"")</f>
        <v>0.32441638072939455</v>
      </c>
      <c r="E40" s="24">
        <f>IFERROR(CORREL(C$6:C$19,F$6:F$19),"")</f>
        <v>-0.75789650866940161</v>
      </c>
      <c r="F40" s="24">
        <f>IFERROR(CORREL(C$6:C$19,G$6:G$19),"")</f>
        <v>-0.12544697504880756</v>
      </c>
      <c r="G40" s="24">
        <f>IFERROR(CORREL(C$6:C$19,H$6:H$19),"")</f>
        <v>0.69875365076060703</v>
      </c>
    </row>
    <row r="41" spans="1:8" x14ac:dyDescent="0.35">
      <c r="A41" s="11" t="s">
        <v>147</v>
      </c>
      <c r="B41" s="24">
        <f>IFERROR(CORREL(D$6:D$19,C$6:C$19),"")</f>
        <v>0.81869498732078771</v>
      </c>
      <c r="C41" s="24">
        <f>IFERROR(CORREL(D$6:D$19,D$6:D$19),"")</f>
        <v>1.0000000000000002</v>
      </c>
      <c r="D41" s="24">
        <f>IFERROR(CORREL(D$6:D$19,E$6:E$19),"")</f>
        <v>-1.4891726790779745E-2</v>
      </c>
      <c r="E41" s="24">
        <f>IFERROR(CORREL(D$6:D$19,F$6:F$19),"")</f>
        <v>-0.52101628375302989</v>
      </c>
      <c r="F41" s="24">
        <f>IFERROR(CORREL(D$6:D$19,G$6:G$19),"")</f>
        <v>-2.6920425625999361E-2</v>
      </c>
      <c r="G41" s="24">
        <f>IFERROR(CORREL(D$6:D$19,H$6:H$19),"")</f>
        <v>0.63056137780734123</v>
      </c>
    </row>
    <row r="42" spans="1:8" x14ac:dyDescent="0.35">
      <c r="A42" s="11" t="s">
        <v>148</v>
      </c>
      <c r="B42" s="24">
        <f>IFERROR(CORREL(E$6:E$19,C$6:C$19),"")</f>
        <v>0.32441638072939455</v>
      </c>
      <c r="C42" s="24">
        <f>IFERROR(CORREL(E$6:E$19,D$6:D$19),"")</f>
        <v>-1.4891726790779745E-2</v>
      </c>
      <c r="D42" s="24">
        <f>IFERROR(CORREL(E$6:E$19,E$6:E$19),"")</f>
        <v>0.99999999999999978</v>
      </c>
      <c r="E42" s="24">
        <f>IFERROR(CORREL(E$6:E$19,F$6:F$19),"")</f>
        <v>-0.85929111314689355</v>
      </c>
      <c r="F42" s="24">
        <f>IFERROR(CORREL(E$6:E$19,G$6:G$19),"")</f>
        <v>-0.63301107780156618</v>
      </c>
      <c r="G42" s="24">
        <f>IFERROR(CORREL(E$6:E$19,H$6:H$19),"")</f>
        <v>0.45400180276143726</v>
      </c>
    </row>
    <row r="43" spans="1:8" x14ac:dyDescent="0.35">
      <c r="A43" s="11" t="s">
        <v>6</v>
      </c>
      <c r="B43" s="24">
        <f>IFERROR(CORREL(F$6:F$19,C$6:C$19),"")</f>
        <v>-0.75789650866940161</v>
      </c>
      <c r="C43" s="24">
        <f>IFERROR(CORREL(F$6:F$19,D$6:D$19),"")</f>
        <v>-0.52101628375302989</v>
      </c>
      <c r="D43" s="24">
        <f>IFERROR(CORREL(F$6:F$19,E$6:E$19),"")</f>
        <v>-0.85929111314689355</v>
      </c>
      <c r="E43" s="24">
        <f>IFERROR(CORREL(F$6:F$19,F$6:F$19),"")</f>
        <v>1</v>
      </c>
      <c r="F43" s="24">
        <f>IFERROR(CORREL(F$6:F$19,G$6:G$19),"")</f>
        <v>3.0564971235370934E-2</v>
      </c>
      <c r="G43" s="24">
        <f>IFERROR(CORREL(F$6:F$19,H$6:H$19),"")</f>
        <v>-0.27076020357023606</v>
      </c>
    </row>
    <row r="44" spans="1:8" x14ac:dyDescent="0.35">
      <c r="A44" s="11" t="s">
        <v>7</v>
      </c>
      <c r="B44" s="24">
        <f>IFERROR(CORREL(G$6:G$19,C$6:C$19),"")</f>
        <v>-0.12544697504880756</v>
      </c>
      <c r="C44" s="24">
        <f>IFERROR(CORREL(G$6:G$19,D$6:D$19),"")</f>
        <v>-2.6920425625999361E-2</v>
      </c>
      <c r="D44" s="24">
        <f>IFERROR(CORREL(G$6:G$19,E$6:E$19),"")</f>
        <v>-0.63301107780156618</v>
      </c>
      <c r="E44" s="24">
        <f>IFERROR(CORREL(G$6:G$19,F$6:F$19),"")</f>
        <v>3.0564971235370934E-2</v>
      </c>
      <c r="F44" s="24">
        <f>IFERROR(CORREL(G$6:G$19,G$6:G$19),"")</f>
        <v>0.99999999999999989</v>
      </c>
      <c r="G44" s="24">
        <f>IFERROR(CORREL(G$6:G$19,H$6:H$19),"")</f>
        <v>-0.69884660134404486</v>
      </c>
    </row>
    <row r="45" spans="1:8" x14ac:dyDescent="0.35">
      <c r="A45" s="11" t="s">
        <v>8</v>
      </c>
      <c r="B45" s="24">
        <f>IFERROR(CORREL(H$6:H$19,C$6:C$19),"")</f>
        <v>0.69875365076060703</v>
      </c>
      <c r="C45" s="24">
        <f>IFERROR(CORREL(H$6:H$19,D$6:D$19),"")</f>
        <v>0.63056137780734123</v>
      </c>
      <c r="D45" s="24">
        <f>IFERROR(CORREL(H$6:H$19,E$6:E$19),"")</f>
        <v>0.45400180276143726</v>
      </c>
      <c r="E45" s="24">
        <f>IFERROR(CORREL(H$6:H$19,F$6:F$19),"")</f>
        <v>-0.27076020357023606</v>
      </c>
      <c r="F45" s="24">
        <f>IFERROR(CORREL(H$6:H$19,G$6:G$19),"")</f>
        <v>-0.69884660134404486</v>
      </c>
      <c r="G45" s="24">
        <f>IFERROR(CORREL(H$6:H$19,H$6:H$19),"")</f>
        <v>1</v>
      </c>
    </row>
    <row r="47" spans="1:8" x14ac:dyDescent="0.35">
      <c r="A47" s="6" t="s">
        <v>149</v>
      </c>
    </row>
    <row r="48" spans="1:8" x14ac:dyDescent="0.35">
      <c r="A48" s="6" t="s">
        <v>150</v>
      </c>
    </row>
  </sheetData>
  <conditionalFormatting sqref="B40:G45">
    <cfRule type="colorScale" priority="1">
      <colorScale>
        <cfvo type="num" val="-1"/>
        <cfvo type="num" val="0"/>
        <cfvo type="num" val="1"/>
        <color rgb="FF5B7FBF"/>
        <color rgb="FFFFFFFF"/>
        <color rgb="FFD9534F"/>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sheetPr>
  <dimension ref="A1:K24"/>
  <sheetViews>
    <sheetView tabSelected="1" workbookViewId="0">
      <pane xSplit="1" ySplit="4" topLeftCell="B5" activePane="bottomRight" state="frozen"/>
      <selection pane="topRight"/>
      <selection pane="bottomLeft"/>
      <selection pane="bottomRight"/>
    </sheetView>
  </sheetViews>
  <sheetFormatPr defaultRowHeight="14.5" x14ac:dyDescent="0.35"/>
  <cols>
    <col min="1" max="1" width="20" customWidth="1"/>
    <col min="2" max="2" width="16" customWidth="1"/>
    <col min="3" max="8" width="20" customWidth="1"/>
    <col min="9" max="9" width="60" customWidth="1"/>
    <col min="10" max="11" width="22" customWidth="1"/>
  </cols>
  <sheetData>
    <row r="1" spans="1:11" ht="18" x14ac:dyDescent="0.4">
      <c r="A1" s="1" t="s">
        <v>151</v>
      </c>
    </row>
    <row r="2" spans="1:11" x14ac:dyDescent="0.35">
      <c r="A2" s="6" t="s">
        <v>152</v>
      </c>
      <c r="D2" s="25">
        <f>SUMIFS(CTRS_MPA!$F$6:$F$123,CTRS_MPA!$A$6:$A$123,"Malaysia Territorial Sea")</f>
        <v>12024200</v>
      </c>
    </row>
    <row r="4" spans="1:11" ht="48" customHeight="1" x14ac:dyDescent="0.35">
      <c r="A4" s="4" t="s">
        <v>3</v>
      </c>
      <c r="B4" s="4" t="s">
        <v>153</v>
      </c>
      <c r="C4" s="4" t="s">
        <v>154</v>
      </c>
      <c r="D4" s="4" t="s">
        <v>155</v>
      </c>
      <c r="E4" s="4" t="s">
        <v>156</v>
      </c>
      <c r="F4" s="4" t="s">
        <v>157</v>
      </c>
      <c r="G4" s="4" t="s">
        <v>158</v>
      </c>
      <c r="H4" s="4" t="s">
        <v>7</v>
      </c>
      <c r="I4" s="4" t="s">
        <v>159</v>
      </c>
      <c r="J4" s="4" t="s">
        <v>160</v>
      </c>
      <c r="K4" s="4" t="s">
        <v>161</v>
      </c>
    </row>
    <row r="5" spans="1:11" x14ac:dyDescent="0.35">
      <c r="A5" s="11" t="s">
        <v>81</v>
      </c>
      <c r="B5" s="13" t="s">
        <v>81</v>
      </c>
      <c r="C5" s="20">
        <f>SUMIFS(CTRS_MPA!$H$6:$H$123,CTRS_MPA!$C$6:$C$123,$A5)</f>
        <v>82753.5</v>
      </c>
      <c r="D5" s="20">
        <f>SUMPRODUCT(--ISNUMBER(SEARCH($B5,CTRS_IMCA!$B$6:$B$63)),CTRS_IMCA!$E$6:$E$63)</f>
        <v>464070</v>
      </c>
      <c r="E5" s="26"/>
      <c r="F5" s="20">
        <f>IF(CTRS_Control!$C$31="MYIMCA",$D5,IF(CTRS_Control!$C$31="NATIONAL_SEA",$D$2,IF(ISNUMBER($E5),$E5,0)))</f>
        <v>464070</v>
      </c>
      <c r="G5" s="27">
        <f t="shared" ref="G5:G18" si="0">IF($F5&gt;0,$C5/$F5,"")</f>
        <v>0.17832115844592411</v>
      </c>
      <c r="H5" s="8">
        <f>IF($G5="","",IF(CTRS_Control!$C$31="NATIONAL_SEA",$G5/MAX($G$5:$G$18),MIN(1,$G5)))</f>
        <v>0.17832115844592411</v>
      </c>
      <c r="I5" s="6" t="str">
        <f>TRIM(IF($G5="","No total marine area for this state → Z = 0. ","")&amp;IF(AND($G5&lt;&gt;"",CTRS_Control!$C$31&lt;&gt;"NATIONAL_SEA",$G5&gt;1),"Protected area &gt; total area: capped at 1. ","")&amp;IF($C5=0,"No MPA listed for this state.",""))</f>
        <v/>
      </c>
      <c r="J5" s="20">
        <f>SUMIFS(CTRS_MPA!$F$6:$F$123,CTRS_MPA!$C$6:$C$123,$A5,CTRS_MPA!$D$6:$D$123,"MPA*")</f>
        <v>82759</v>
      </c>
      <c r="K5" s="24">
        <f t="shared" ref="K5:K18" si="1">IF($J5&gt;0,$C5/$J5,"")</f>
        <v>0.99993354197126594</v>
      </c>
    </row>
    <row r="6" spans="1:11" x14ac:dyDescent="0.35">
      <c r="A6" s="11" t="s">
        <v>82</v>
      </c>
      <c r="B6" s="13" t="s">
        <v>82</v>
      </c>
      <c r="C6" s="20">
        <f>SUMIFS(CTRS_MPA!$H$6:$H$123,CTRS_MPA!$C$6:$C$123,$A6)</f>
        <v>18700</v>
      </c>
      <c r="D6" s="20">
        <f>SUMPRODUCT(--ISNUMBER(SEARCH($B6,CTRS_IMCA!$B$6:$B$63)),CTRS_IMCA!$E$6:$E$63)</f>
        <v>639117.80000000005</v>
      </c>
      <c r="E6" s="26"/>
      <c r="F6" s="20">
        <f>IF(CTRS_Control!$C$31="MYIMCA",$D6,IF(CTRS_Control!$C$31="NATIONAL_SEA",$D$2,IF(ISNUMBER($E6),$E6,0)))</f>
        <v>639117.80000000005</v>
      </c>
      <c r="G6" s="27">
        <f t="shared" si="0"/>
        <v>2.9259081815590175E-2</v>
      </c>
      <c r="H6" s="8">
        <f>IF($G6="","",IF(CTRS_Control!$C$31="NATIONAL_SEA",$G6/MAX($G$5:$G$18),MIN(1,$G6)))</f>
        <v>2.9259081815590175E-2</v>
      </c>
      <c r="I6" s="6" t="str">
        <f>TRIM(IF($G6="","No total marine area for this state → Z = 0. ","")&amp;IF(AND($G6&lt;&gt;"",CTRS_Control!$C$31&lt;&gt;"NATIONAL_SEA",$G6&gt;1),"Protected area &gt; total area: capped at 1. ","")&amp;IF($C6=0,"No MPA listed for this state.",""))</f>
        <v/>
      </c>
      <c r="J6" s="20">
        <f>SUMIFS(CTRS_MPA!$F$6:$F$123,CTRS_MPA!$C$6:$C$123,$A6,CTRS_MPA!$D$6:$D$123,"MPA*")</f>
        <v>18700</v>
      </c>
      <c r="K6" s="24">
        <f t="shared" si="1"/>
        <v>1</v>
      </c>
    </row>
    <row r="7" spans="1:11" x14ac:dyDescent="0.35">
      <c r="A7" s="11" t="s">
        <v>83</v>
      </c>
      <c r="B7" s="13" t="s">
        <v>83</v>
      </c>
      <c r="C7" s="20">
        <f>SUMIFS(CTRS_MPA!$H$6:$H$123,CTRS_MPA!$C$6:$C$123,$A7)</f>
        <v>0</v>
      </c>
      <c r="D7" s="20">
        <f>SUMPRODUCT(--ISNUMBER(SEARCH($B7,CTRS_IMCA!$B$6:$B$63)),CTRS_IMCA!$E$6:$E$63)</f>
        <v>0</v>
      </c>
      <c r="E7" s="26"/>
      <c r="F7" s="20">
        <f>IF(CTRS_Control!$C$31="MYIMCA",$D7,IF(CTRS_Control!$C$31="NATIONAL_SEA",$D$2,IF(ISNUMBER($E7),$E7,0)))</f>
        <v>0</v>
      </c>
      <c r="G7" s="27" t="str">
        <f t="shared" si="0"/>
        <v/>
      </c>
      <c r="H7" s="8" t="str">
        <f>IF($G7="","",IF(CTRS_Control!$C$31="NATIONAL_SEA",$G7/MAX($G$5:$G$18),MIN(1,$G7)))</f>
        <v/>
      </c>
      <c r="I7" s="6" t="str">
        <f>TRIM(IF($G7="","No total marine area for this state → Z = 0. ","")&amp;IF(AND($G7&lt;&gt;"",CTRS_Control!$C$31&lt;&gt;"NATIONAL_SEA",$G7&gt;1),"Protected area &gt; total area: capped at 1. ","")&amp;IF($C7=0,"No MPA listed for this state.",""))</f>
        <v>No total marine area for this state → Z = 0. No MPA listed for this state.</v>
      </c>
      <c r="J7" s="20">
        <f>SUMIFS(CTRS_MPA!$F$6:$F$123,CTRS_MPA!$C$6:$C$123,$A7,CTRS_MPA!$D$6:$D$123,"MPA*")</f>
        <v>0</v>
      </c>
      <c r="K7" s="24" t="str">
        <f t="shared" si="1"/>
        <v/>
      </c>
    </row>
    <row r="8" spans="1:11" x14ac:dyDescent="0.35">
      <c r="A8" s="11" t="s">
        <v>84</v>
      </c>
      <c r="B8" s="13" t="s">
        <v>84</v>
      </c>
      <c r="C8" s="20">
        <f>SUMIFS(CTRS_MPA!$H$6:$H$123,CTRS_MPA!$C$6:$C$123,$A8)</f>
        <v>1542.3333333333333</v>
      </c>
      <c r="D8" s="20">
        <f>SUMPRODUCT(--ISNUMBER(SEARCH($B8,CTRS_IMCA!$B$6:$B$63)),CTRS_IMCA!$E$6:$E$63)</f>
        <v>2325.4</v>
      </c>
      <c r="E8" s="26"/>
      <c r="F8" s="20">
        <f>IF(CTRS_Control!$C$31="MYIMCA",$D8,IF(CTRS_Control!$C$31="NATIONAL_SEA",$D$2,IF(ISNUMBER($E8),$E8,0)))</f>
        <v>2325.4</v>
      </c>
      <c r="G8" s="27">
        <f t="shared" si="0"/>
        <v>0.66325506722857708</v>
      </c>
      <c r="H8" s="8">
        <f>IF($G8="","",IF(CTRS_Control!$C$31="NATIONAL_SEA",$G8/MAX($G$5:$G$18),MIN(1,$G8)))</f>
        <v>0.66325506722857708</v>
      </c>
      <c r="I8" s="6" t="str">
        <f>TRIM(IF($G8="","No total marine area for this state → Z = 0. ","")&amp;IF(AND($G8&lt;&gt;"",CTRS_Control!$C$31&lt;&gt;"NATIONAL_SEA",$G8&gt;1),"Protected area &gt; total area: capped at 1. ","")&amp;IF($C8=0,"No MPA listed for this state.",""))</f>
        <v/>
      </c>
      <c r="J8" s="20">
        <f>SUMIFS(CTRS_MPA!$F$6:$F$123,CTRS_MPA!$C$6:$C$123,$A8,CTRS_MPA!$D$6:$D$123,"MPA*")</f>
        <v>2318</v>
      </c>
      <c r="K8" s="24">
        <f t="shared" si="1"/>
        <v>0.66537244751222313</v>
      </c>
    </row>
    <row r="9" spans="1:11" x14ac:dyDescent="0.35">
      <c r="A9" s="11" t="s">
        <v>85</v>
      </c>
      <c r="B9" s="13" t="s">
        <v>85</v>
      </c>
      <c r="C9" s="20">
        <f>SUMIFS(CTRS_MPA!$H$6:$H$123,CTRS_MPA!$C$6:$C$123,$A9)</f>
        <v>1268.6666666666665</v>
      </c>
      <c r="D9" s="20">
        <f>SUMPRODUCT(--ISNUMBER(SEARCH($B9,CTRS_IMCA!$B$6:$B$63)),CTRS_IMCA!$E$6:$E$63)</f>
        <v>2325.4</v>
      </c>
      <c r="E9" s="26"/>
      <c r="F9" s="20">
        <f>IF(CTRS_Control!$C$31="MYIMCA",$D9,IF(CTRS_Control!$C$31="NATIONAL_SEA",$D$2,IF(ISNUMBER($E9),$E9,0)))</f>
        <v>2325.4</v>
      </c>
      <c r="G9" s="27">
        <f t="shared" si="0"/>
        <v>0.54556922106590977</v>
      </c>
      <c r="H9" s="8">
        <f>IF($G9="","",IF(CTRS_Control!$C$31="NATIONAL_SEA",$G9/MAX($G$5:$G$18),MIN(1,$G9)))</f>
        <v>0.54556922106590977</v>
      </c>
      <c r="I9" s="6" t="str">
        <f>TRIM(IF($G9="","No total marine area for this state → Z = 0. ","")&amp;IF(AND($G9&lt;&gt;"",CTRS_Control!$C$31&lt;&gt;"NATIONAL_SEA",$G9&gt;1),"Protected area &gt; total area: capped at 1. ","")&amp;IF($C9=0,"No MPA listed for this state.",""))</f>
        <v/>
      </c>
      <c r="J9" s="20">
        <f>SUMIFS(CTRS_MPA!$F$6:$F$123,CTRS_MPA!$C$6:$C$123,$A9,CTRS_MPA!$D$6:$D$123,"MPA*")</f>
        <v>1904</v>
      </c>
      <c r="K9" s="24">
        <f t="shared" si="1"/>
        <v>0.66631652661064422</v>
      </c>
    </row>
    <row r="10" spans="1:11" x14ac:dyDescent="0.35">
      <c r="A10" s="11" t="s">
        <v>86</v>
      </c>
      <c r="B10" s="13" t="s">
        <v>86</v>
      </c>
      <c r="C10" s="20">
        <f>SUMIFS(CTRS_MPA!$H$6:$H$123,CTRS_MPA!$C$6:$C$123,$A10)</f>
        <v>53556</v>
      </c>
      <c r="D10" s="20">
        <f>SUMPRODUCT(--ISNUMBER(SEARCH($B10,CTRS_IMCA!$B$6:$B$63)),CTRS_IMCA!$E$6:$E$63)</f>
        <v>1127391.1000000001</v>
      </c>
      <c r="E10" s="26"/>
      <c r="F10" s="20">
        <f>IF(CTRS_Control!$C$31="MYIMCA",$D10,IF(CTRS_Control!$C$31="NATIONAL_SEA",$D$2,IF(ISNUMBER($E10),$E10,0)))</f>
        <v>1127391.1000000001</v>
      </c>
      <c r="G10" s="27">
        <f t="shared" si="0"/>
        <v>4.7504366497127748E-2</v>
      </c>
      <c r="H10" s="8">
        <f>IF($G10="","",IF(CTRS_Control!$C$31="NATIONAL_SEA",$G10/MAX($G$5:$G$18),MIN(1,$G10)))</f>
        <v>4.7504366497127748E-2</v>
      </c>
      <c r="I10" s="6" t="str">
        <f>TRIM(IF($G10="","No total marine area for this state → Z = 0. ","")&amp;IF(AND($G10&lt;&gt;"",CTRS_Control!$C$31&lt;&gt;"NATIONAL_SEA",$G10&gt;1),"Protected area &gt; total area: capped at 1. ","")&amp;IF($C10=0,"No MPA listed for this state.",""))</f>
        <v/>
      </c>
      <c r="J10" s="20">
        <f>SUMIFS(CTRS_MPA!$F$6:$F$123,CTRS_MPA!$C$6:$C$123,$A10,CTRS_MPA!$D$6:$D$123,"MPA*")</f>
        <v>53612</v>
      </c>
      <c r="K10" s="24">
        <f t="shared" si="1"/>
        <v>0.99895545773334327</v>
      </c>
    </row>
    <row r="11" spans="1:11" x14ac:dyDescent="0.35">
      <c r="A11" s="11" t="s">
        <v>87</v>
      </c>
      <c r="B11" s="13" t="s">
        <v>87</v>
      </c>
      <c r="C11" s="20">
        <f>SUMIFS(CTRS_MPA!$H$6:$H$123,CTRS_MPA!$C$6:$C$123,$A11)</f>
        <v>0</v>
      </c>
      <c r="D11" s="20">
        <f>SUMPRODUCT(--ISNUMBER(SEARCH($B11,CTRS_IMCA!$B$6:$B$63)),CTRS_IMCA!$E$6:$E$63)</f>
        <v>698631.39999999991</v>
      </c>
      <c r="E11" s="26"/>
      <c r="F11" s="20">
        <f>IF(CTRS_Control!$C$31="MYIMCA",$D11,IF(CTRS_Control!$C$31="NATIONAL_SEA",$D$2,IF(ISNUMBER($E11),$E11,0)))</f>
        <v>698631.39999999991</v>
      </c>
      <c r="G11" s="27">
        <f t="shared" si="0"/>
        <v>0</v>
      </c>
      <c r="H11" s="8">
        <f>IF($G11="","",IF(CTRS_Control!$C$31="NATIONAL_SEA",$G11/MAX($G$5:$G$18),MIN(1,$G11)))</f>
        <v>0</v>
      </c>
      <c r="I11" s="6" t="str">
        <f>TRIM(IF($G11="","No total marine area for this state → Z = 0. ","")&amp;IF(AND($G11&lt;&gt;"",CTRS_Control!$C$31&lt;&gt;"NATIONAL_SEA",$G11&gt;1),"Protected area &gt; total area: capped at 1. ","")&amp;IF($C11=0,"No MPA listed for this state.",""))</f>
        <v>No MPA listed for this state.</v>
      </c>
      <c r="J11" s="20">
        <f>SUMIFS(CTRS_MPA!$F$6:$F$123,CTRS_MPA!$C$6:$C$123,$A11,CTRS_MPA!$D$6:$D$123,"MPA*")</f>
        <v>0</v>
      </c>
      <c r="K11" s="24" t="str">
        <f t="shared" si="1"/>
        <v/>
      </c>
    </row>
    <row r="12" spans="1:11" x14ac:dyDescent="0.35">
      <c r="A12" s="11" t="s">
        <v>88</v>
      </c>
      <c r="B12" s="13" t="s">
        <v>88</v>
      </c>
      <c r="C12" s="20">
        <f>SUMIFS(CTRS_MPA!$H$6:$H$123,CTRS_MPA!$C$6:$C$123,$A12)</f>
        <v>0</v>
      </c>
      <c r="D12" s="20">
        <f>SUMPRODUCT(--ISNUMBER(SEARCH($B12,CTRS_IMCA!$B$6:$B$63)),CTRS_IMCA!$E$6:$E$63)</f>
        <v>0</v>
      </c>
      <c r="E12" s="26"/>
      <c r="F12" s="20">
        <f>IF(CTRS_Control!$C$31="MYIMCA",$D12,IF(CTRS_Control!$C$31="NATIONAL_SEA",$D$2,IF(ISNUMBER($E12),$E12,0)))</f>
        <v>0</v>
      </c>
      <c r="G12" s="27" t="str">
        <f t="shared" si="0"/>
        <v/>
      </c>
      <c r="H12" s="8" t="str">
        <f>IF($G12="","",IF(CTRS_Control!$C$31="NATIONAL_SEA",$G12/MAX($G$5:$G$18),MIN(1,$G12)))</f>
        <v/>
      </c>
      <c r="I12" s="6" t="str">
        <f>TRIM(IF($G12="","No total marine area for this state → Z = 0. ","")&amp;IF(AND($G12&lt;&gt;"",CTRS_Control!$C$31&lt;&gt;"NATIONAL_SEA",$G12&gt;1),"Protected area &gt; total area: capped at 1. ","")&amp;IF($C12=0,"No MPA listed for this state.",""))</f>
        <v>No total marine area for this state → Z = 0. No MPA listed for this state.</v>
      </c>
      <c r="J12" s="20">
        <f>SUMIFS(CTRS_MPA!$F$6:$F$123,CTRS_MPA!$C$6:$C$123,$A12,CTRS_MPA!$D$6:$D$123,"MPA*")</f>
        <v>0</v>
      </c>
      <c r="K12" s="24" t="str">
        <f t="shared" si="1"/>
        <v/>
      </c>
    </row>
    <row r="13" spans="1:11" x14ac:dyDescent="0.35">
      <c r="A13" s="11" t="s">
        <v>89</v>
      </c>
      <c r="B13" s="13" t="s">
        <v>89</v>
      </c>
      <c r="C13" s="20">
        <f>SUMIFS(CTRS_MPA!$H$6:$H$123,CTRS_MPA!$C$6:$C$123,$A13)</f>
        <v>600</v>
      </c>
      <c r="D13" s="20">
        <f>SUMPRODUCT(--ISNUMBER(SEARCH($B13,CTRS_IMCA!$B$6:$B$63)),CTRS_IMCA!$E$6:$E$63)</f>
        <v>0</v>
      </c>
      <c r="E13" s="26"/>
      <c r="F13" s="20">
        <f>IF(CTRS_Control!$C$31="MYIMCA",$D13,IF(CTRS_Control!$C$31="NATIONAL_SEA",$D$2,IF(ISNUMBER($E13),$E13,0)))</f>
        <v>0</v>
      </c>
      <c r="G13" s="27" t="str">
        <f t="shared" si="0"/>
        <v/>
      </c>
      <c r="H13" s="8" t="str">
        <f>IF($G13="","",IF(CTRS_Control!$C$31="NATIONAL_SEA",$G13/MAX($G$5:$G$18),MIN(1,$G13)))</f>
        <v/>
      </c>
      <c r="I13" s="6" t="str">
        <f>TRIM(IF($G13="","No total marine area for this state → Z = 0. ","")&amp;IF(AND($G13&lt;&gt;"",CTRS_Control!$C$31&lt;&gt;"NATIONAL_SEA",$G13&gt;1),"Protected area &gt; total area: capped at 1. ","")&amp;IF($C13=0,"No MPA listed for this state.",""))</f>
        <v>No total marine area for this state → Z = 0.</v>
      </c>
      <c r="J13" s="20">
        <f>SUMIFS(CTRS_MPA!$F$6:$F$123,CTRS_MPA!$C$6:$C$123,$A13,CTRS_MPA!$D$6:$D$123,"MPA*")</f>
        <v>1200</v>
      </c>
      <c r="K13" s="24">
        <f t="shared" si="1"/>
        <v>0.5</v>
      </c>
    </row>
    <row r="14" spans="1:11" x14ac:dyDescent="0.35">
      <c r="A14" s="11" t="s">
        <v>90</v>
      </c>
      <c r="B14" s="13" t="s">
        <v>90</v>
      </c>
      <c r="C14" s="20">
        <f>SUMIFS(CTRS_MPA!$H$6:$H$123,CTRS_MPA!$C$6:$C$123,$A14)</f>
        <v>814166.66666666674</v>
      </c>
      <c r="D14" s="20">
        <f>SUMPRODUCT(--ISNUMBER(SEARCH($B14,CTRS_IMCA!$B$6:$B$63)),CTRS_IMCA!$E$6:$E$63)</f>
        <v>6919585.4500000002</v>
      </c>
      <c r="E14" s="26"/>
      <c r="F14" s="20">
        <f>IF(CTRS_Control!$C$31="MYIMCA",$D14,IF(CTRS_Control!$C$31="NATIONAL_SEA",$D$2,IF(ISNUMBER($E14),$E14,0)))</f>
        <v>6919585.4500000002</v>
      </c>
      <c r="G14" s="27">
        <f t="shared" si="0"/>
        <v>0.11766119120136984</v>
      </c>
      <c r="H14" s="8">
        <f>IF($G14="","",IF(CTRS_Control!$C$31="NATIONAL_SEA",$G14/MAX($G$5:$G$18),MIN(1,$G14)))</f>
        <v>0.11766119120136984</v>
      </c>
      <c r="I14" s="6" t="str">
        <f>TRIM(IF($G14="","No total marine area for this state → Z = 0. ","")&amp;IF(AND($G14&lt;&gt;"",CTRS_Control!$C$31&lt;&gt;"NATIONAL_SEA",$G14&gt;1),"Protected area &gt; total area: capped at 1. ","")&amp;IF($C14=0,"No MPA listed for this state.",""))</f>
        <v/>
      </c>
      <c r="J14" s="20">
        <f>SUMIFS(CTRS_MPA!$F$6:$F$123,CTRS_MPA!$C$6:$C$123,$A14,CTRS_MPA!$D$6:$D$123,"MPA*")</f>
        <v>953500</v>
      </c>
      <c r="K14" s="24">
        <f t="shared" si="1"/>
        <v>0.85387170075161689</v>
      </c>
    </row>
    <row r="15" spans="1:11" x14ac:dyDescent="0.35">
      <c r="A15" s="11" t="s">
        <v>91</v>
      </c>
      <c r="B15" s="13" t="s">
        <v>91</v>
      </c>
      <c r="C15" s="20">
        <f>SUMIFS(CTRS_MPA!$H$6:$H$123,CTRS_MPA!$C$6:$C$123,$A15)</f>
        <v>887777.33333333326</v>
      </c>
      <c r="D15" s="20">
        <f>SUMPRODUCT(--ISNUMBER(SEARCH($B15,CTRS_IMCA!$B$6:$B$63)),CTRS_IMCA!$E$6:$E$63)</f>
        <v>2605765.1</v>
      </c>
      <c r="E15" s="26"/>
      <c r="F15" s="20">
        <f>IF(CTRS_Control!$C$31="MYIMCA",$D15,IF(CTRS_Control!$C$31="NATIONAL_SEA",$D$2,IF(ISNUMBER($E15),$E15,0)))</f>
        <v>2605765.1</v>
      </c>
      <c r="G15" s="27">
        <f t="shared" si="0"/>
        <v>0.34069737649542287</v>
      </c>
      <c r="H15" s="8">
        <f>IF($G15="","",IF(CTRS_Control!$C$31="NATIONAL_SEA",$G15/MAX($G$5:$G$18),MIN(1,$G15)))</f>
        <v>0.34069737649542287</v>
      </c>
      <c r="I15" s="6" t="str">
        <f>TRIM(IF($G15="","No total marine area for this state → Z = 0. ","")&amp;IF(AND($G15&lt;&gt;"",CTRS_Control!$C$31&lt;&gt;"NATIONAL_SEA",$G15&gt;1),"Protected area &gt; total area: capped at 1. ","")&amp;IF($C15=0,"No MPA listed for this state.",""))</f>
        <v/>
      </c>
      <c r="J15" s="20">
        <f>SUMIFS(CTRS_MPA!$F$6:$F$123,CTRS_MPA!$C$6:$C$123,$A15,CTRS_MPA!$D$6:$D$123,"MPA*")</f>
        <v>1331656</v>
      </c>
      <c r="K15" s="24">
        <f t="shared" si="1"/>
        <v>0.6666716729645894</v>
      </c>
    </row>
    <row r="16" spans="1:11" x14ac:dyDescent="0.35">
      <c r="A16" s="11" t="s">
        <v>92</v>
      </c>
      <c r="B16" s="13" t="s">
        <v>92</v>
      </c>
      <c r="C16" s="20">
        <f>SUMIFS(CTRS_MPA!$H$6:$H$123,CTRS_MPA!$C$6:$C$123,$A16)</f>
        <v>0</v>
      </c>
      <c r="D16" s="20">
        <f>SUMPRODUCT(--ISNUMBER(SEARCH($B16,CTRS_IMCA!$B$6:$B$63)),CTRS_IMCA!$E$6:$E$63)</f>
        <v>31062.2</v>
      </c>
      <c r="E16" s="26"/>
      <c r="F16" s="20">
        <f>IF(CTRS_Control!$C$31="MYIMCA",$D16,IF(CTRS_Control!$C$31="NATIONAL_SEA",$D$2,IF(ISNUMBER($E16),$E16,0)))</f>
        <v>31062.2</v>
      </c>
      <c r="G16" s="27">
        <f t="shared" si="0"/>
        <v>0</v>
      </c>
      <c r="H16" s="8">
        <f>IF($G16="","",IF(CTRS_Control!$C$31="NATIONAL_SEA",$G16/MAX($G$5:$G$18),MIN(1,$G16)))</f>
        <v>0</v>
      </c>
      <c r="I16" s="6" t="str">
        <f>TRIM(IF($G16="","No total marine area for this state → Z = 0. ","")&amp;IF(AND($G16&lt;&gt;"",CTRS_Control!$C$31&lt;&gt;"NATIONAL_SEA",$G16&gt;1),"Protected area &gt; total area: capped at 1. ","")&amp;IF($C16=0,"No MPA listed for this state.",""))</f>
        <v>No MPA listed for this state.</v>
      </c>
      <c r="J16" s="20">
        <f>SUMIFS(CTRS_MPA!$F$6:$F$123,CTRS_MPA!$C$6:$C$123,$A16,CTRS_MPA!$D$6:$D$123,"MPA*")</f>
        <v>0</v>
      </c>
      <c r="K16" s="24" t="str">
        <f t="shared" si="1"/>
        <v/>
      </c>
    </row>
    <row r="17" spans="1:11" x14ac:dyDescent="0.35">
      <c r="A17" s="11" t="s">
        <v>93</v>
      </c>
      <c r="B17" s="13" t="s">
        <v>93</v>
      </c>
      <c r="C17" s="20">
        <f>SUMIFS(CTRS_MPA!$H$6:$H$123,CTRS_MPA!$C$6:$C$123,$A17)</f>
        <v>74114</v>
      </c>
      <c r="D17" s="20">
        <f>SUMPRODUCT(--ISNUMBER(SEARCH($B17,CTRS_IMCA!$B$6:$B$63)),CTRS_IMCA!$E$6:$E$63)</f>
        <v>291590.2</v>
      </c>
      <c r="E17" s="26"/>
      <c r="F17" s="20">
        <f>IF(CTRS_Control!$C$31="MYIMCA",$D17,IF(CTRS_Control!$C$31="NATIONAL_SEA",$D$2,IF(ISNUMBER($E17),$E17,0)))</f>
        <v>291590.2</v>
      </c>
      <c r="G17" s="27">
        <f t="shared" si="0"/>
        <v>0.25417177943566005</v>
      </c>
      <c r="H17" s="8">
        <f>IF($G17="","",IF(CTRS_Control!$C$31="NATIONAL_SEA",$G17/MAX($G$5:$G$18),MIN(1,$G17)))</f>
        <v>0.25417177943566005</v>
      </c>
      <c r="I17" s="6" t="str">
        <f>TRIM(IF($G17="","No total marine area for this state → Z = 0. ","")&amp;IF(AND($G17&lt;&gt;"",CTRS_Control!$C$31&lt;&gt;"NATIONAL_SEA",$G17&gt;1),"Protected area &gt; total area: capped at 1. ","")&amp;IF($C17=0,"No MPA listed for this state.",""))</f>
        <v/>
      </c>
      <c r="J17" s="20">
        <f>SUMIFS(CTRS_MPA!$F$6:$F$123,CTRS_MPA!$C$6:$C$123,$A17,CTRS_MPA!$D$6:$D$123,"MPA*")</f>
        <v>74117</v>
      </c>
      <c r="K17" s="24">
        <f t="shared" si="1"/>
        <v>0.99995952345615713</v>
      </c>
    </row>
    <row r="18" spans="1:11" x14ac:dyDescent="0.35">
      <c r="A18" s="11" t="s">
        <v>94</v>
      </c>
      <c r="B18" s="13" t="s">
        <v>162</v>
      </c>
      <c r="C18" s="20">
        <f>SUMIFS(CTRS_MPA!$H$6:$H$123,CTRS_MPA!$C$6:$C$123,$A18)</f>
        <v>4500</v>
      </c>
      <c r="D18" s="20">
        <f>SUMPRODUCT(--ISNUMBER(SEARCH($B18,CTRS_IMCA!$B$6:$B$63)),CTRS_IMCA!$E$6:$E$63)</f>
        <v>87055.35</v>
      </c>
      <c r="E18" s="26"/>
      <c r="F18" s="20">
        <f>IF(CTRS_Control!$C$31="MYIMCA",$D18,IF(CTRS_Control!$C$31="NATIONAL_SEA",$D$2,IF(ISNUMBER($E18),$E18,0)))</f>
        <v>87055.35</v>
      </c>
      <c r="G18" s="27">
        <f t="shared" si="0"/>
        <v>5.1691251600274997E-2</v>
      </c>
      <c r="H18" s="8">
        <f>IF($G18="","",IF(CTRS_Control!$C$31="NATIONAL_SEA",$G18/MAX($G$5:$G$18),MIN(1,$G18)))</f>
        <v>5.1691251600274997E-2</v>
      </c>
      <c r="I18" s="6" t="str">
        <f>TRIM(IF($G18="","No total marine area for this state → Z = 0. ","")&amp;IF(AND($G18&lt;&gt;"",CTRS_Control!$C$31&lt;&gt;"NATIONAL_SEA",$G18&gt;1),"Protected area &gt; total area: capped at 1. ","")&amp;IF($C18=0,"No MPA listed for this state.",""))</f>
        <v/>
      </c>
      <c r="J18" s="20">
        <f>SUMIFS(CTRS_MPA!$F$6:$F$123,CTRS_MPA!$C$6:$C$123,$A18,CTRS_MPA!$D$6:$D$123,"MPA*")</f>
        <v>4500</v>
      </c>
      <c r="K18" s="24">
        <f t="shared" si="1"/>
        <v>1</v>
      </c>
    </row>
    <row r="20" spans="1:11" x14ac:dyDescent="0.35">
      <c r="A20" s="11" t="s">
        <v>126</v>
      </c>
    </row>
    <row r="21" spans="1:11" x14ac:dyDescent="0.35">
      <c r="A21" s="6" t="s">
        <v>163</v>
      </c>
    </row>
    <row r="22" spans="1:11" x14ac:dyDescent="0.35">
      <c r="A22" s="6" t="s">
        <v>164</v>
      </c>
    </row>
    <row r="23" spans="1:11" x14ac:dyDescent="0.35">
      <c r="A23" s="6" t="s">
        <v>165</v>
      </c>
    </row>
    <row r="24" spans="1:11" x14ac:dyDescent="0.35">
      <c r="A24" s="6" t="s">
        <v>166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sheetPr>
  <dimension ref="A1:K123"/>
  <sheetViews>
    <sheetView workbookViewId="0">
      <pane ySplit="5" topLeftCell="A6" activePane="bottomLeft" state="frozen"/>
      <selection pane="bottomLeft"/>
    </sheetView>
  </sheetViews>
  <sheetFormatPr defaultRowHeight="14.5" x14ac:dyDescent="0.35"/>
  <cols>
    <col min="1" max="1" width="42" customWidth="1"/>
    <col min="2" max="2" width="34" customWidth="1"/>
    <col min="3" max="3" width="17" customWidth="1"/>
    <col min="4" max="4" width="34" customWidth="1"/>
    <col min="5" max="8" width="14" customWidth="1"/>
    <col min="10" max="10" width="40" customWidth="1"/>
    <col min="11" max="11" width="17" customWidth="1"/>
  </cols>
  <sheetData>
    <row r="1" spans="1:11" ht="18" x14ac:dyDescent="0.4">
      <c r="A1" s="1" t="s">
        <v>167</v>
      </c>
    </row>
    <row r="2" spans="1:11" x14ac:dyDescent="0.35">
      <c r="A2" s="6" t="s">
        <v>168</v>
      </c>
    </row>
    <row r="5" spans="1:11" ht="26" x14ac:dyDescent="0.35">
      <c r="A5" s="4" t="s">
        <v>169</v>
      </c>
      <c r="B5" s="4" t="s">
        <v>170</v>
      </c>
      <c r="C5" s="4" t="s">
        <v>171</v>
      </c>
      <c r="D5" s="4" t="s">
        <v>172</v>
      </c>
      <c r="E5" s="4" t="s">
        <v>173</v>
      </c>
      <c r="F5" s="4" t="s">
        <v>174</v>
      </c>
      <c r="G5" s="4" t="s">
        <v>175</v>
      </c>
      <c r="H5" s="4" t="s">
        <v>176</v>
      </c>
      <c r="J5" s="4" t="s">
        <v>177</v>
      </c>
      <c r="K5" s="4" t="s">
        <v>178</v>
      </c>
    </row>
    <row r="6" spans="1:11" x14ac:dyDescent="0.35">
      <c r="A6" s="6" t="str">
        <f>IF(MPA!$B3="","",MPA!$B3)</f>
        <v>Malaysia EEZ</v>
      </c>
      <c r="B6" s="6" t="str">
        <f>IF($A6="","",MPA!$C3)</f>
        <v>Malaysia</v>
      </c>
      <c r="C6" s="6" t="str">
        <f t="shared" ref="C6:C37" si="0">IF($A6="","",IFERROR(INDEX($K$6:$K$25,MATCH($B6,$J$6:$J$25,0)),"?"))</f>
        <v>NATIONAL</v>
      </c>
      <c r="D6" s="6" t="str">
        <f>IF($A6="","",MPA!$D3)</f>
        <v>Non-MPA Jurisdictional Authority Area</v>
      </c>
      <c r="E6" s="6" t="str">
        <f>IF($A6="","",MPA!$E3)</f>
        <v>510,804 km2</v>
      </c>
      <c r="F6" s="20">
        <f t="shared" ref="F6:F37" si="1">IF($A6="","",IFERROR(VALUE(SUBSTITUTE(SUBSTITUTE(SUBSTITUTE($E6,"&lt;",""),",","")," km2",""))*100,0))</f>
        <v>51080400</v>
      </c>
      <c r="G6" s="24">
        <f>IF($A6="","",IFERROR(INDEX(CTRS_Control!$C$35:$C$40,MATCH($D6,CTRS_Control!$B$35:$B$40,0)),0))</f>
        <v>0</v>
      </c>
      <c r="H6" s="20">
        <f t="shared" ref="H6:H37" si="2">IF($A6="","",$F6*$G6)</f>
        <v>0</v>
      </c>
      <c r="J6" s="13" t="s">
        <v>179</v>
      </c>
      <c r="K6" s="13" t="s">
        <v>180</v>
      </c>
    </row>
    <row r="7" spans="1:11" x14ac:dyDescent="0.35">
      <c r="A7" s="6" t="str">
        <f>IF(MPA!$B4="","",MPA!$B4)</f>
        <v>Malaysia Territorial Sea</v>
      </c>
      <c r="B7" s="6" t="str">
        <f>IF($A7="","",MPA!$C4)</f>
        <v>Malaysia</v>
      </c>
      <c r="C7" s="6" t="str">
        <f t="shared" si="0"/>
        <v>NATIONAL</v>
      </c>
      <c r="D7" s="6" t="str">
        <f>IF($A7="","",MPA!$D4)</f>
        <v>Non-MPA Jurisdictional Authority Area</v>
      </c>
      <c r="E7" s="6" t="str">
        <f>IF($A7="","",MPA!$E4)</f>
        <v>120,242 km2</v>
      </c>
      <c r="F7" s="20">
        <f t="shared" si="1"/>
        <v>12024200</v>
      </c>
      <c r="G7" s="24">
        <f>IF($A7="","",IFERROR(INDEX(CTRS_Control!$C$35:$C$40,MATCH($D7,CTRS_Control!$B$35:$B$40,0)),0))</f>
        <v>0</v>
      </c>
      <c r="H7" s="20">
        <f t="shared" si="2"/>
        <v>0</v>
      </c>
      <c r="J7" s="13" t="s">
        <v>181</v>
      </c>
      <c r="K7" s="13" t="s">
        <v>81</v>
      </c>
    </row>
    <row r="8" spans="1:11" x14ac:dyDescent="0.35">
      <c r="A8" s="6" t="str">
        <f>IF(MPA!$B5="","",MPA!$B5)</f>
        <v>Penang National Park</v>
      </c>
      <c r="B8" s="6" t="str">
        <f>IF($A8="","",MPA!$C5)</f>
        <v>Malaysia, Penang</v>
      </c>
      <c r="C8" s="6" t="str">
        <f t="shared" si="0"/>
        <v>Pulau Pinang</v>
      </c>
      <c r="D8" s="6" t="str">
        <f>IF($A8="","",MPA!$D5)</f>
        <v>MPA Least Restrictive</v>
      </c>
      <c r="E8" s="6" t="str">
        <f>IF($A8="","",MPA!$E5)</f>
        <v>12 km2</v>
      </c>
      <c r="F8" s="20">
        <f t="shared" si="1"/>
        <v>1200</v>
      </c>
      <c r="G8" s="24">
        <f>IF($A8="","",IFERROR(INDEX(CTRS_Control!$C$35:$C$40,MATCH($D8,CTRS_Control!$B$35:$B$40,0)),0))</f>
        <v>0.5</v>
      </c>
      <c r="H8" s="20">
        <f t="shared" si="2"/>
        <v>600</v>
      </c>
      <c r="J8" s="13" t="s">
        <v>182</v>
      </c>
      <c r="K8" s="13" t="s">
        <v>82</v>
      </c>
    </row>
    <row r="9" spans="1:11" x14ac:dyDescent="0.35">
      <c r="A9" s="6" t="str">
        <f>IF(MPA!$B6="","",MPA!$B6)</f>
        <v>Pulau Aur Marine Park</v>
      </c>
      <c r="B9" s="6" t="str">
        <f>IF($A9="","",MPA!$C6)</f>
        <v>Malaysia, Johor</v>
      </c>
      <c r="C9" s="6" t="str">
        <f t="shared" si="0"/>
        <v>Johor</v>
      </c>
      <c r="D9" s="6" t="str">
        <f>IF($A9="","",MPA!$D6)</f>
        <v>MPA Most Restrictive</v>
      </c>
      <c r="E9" s="6" t="str">
        <f>IF($A9="","",MPA!$E6)</f>
        <v>100 km2</v>
      </c>
      <c r="F9" s="20">
        <f t="shared" si="1"/>
        <v>10000</v>
      </c>
      <c r="G9" s="24">
        <f>IF($A9="","",IFERROR(INDEX(CTRS_Control!$C$35:$C$40,MATCH($D9,CTRS_Control!$B$35:$B$40,0)),0))</f>
        <v>1</v>
      </c>
      <c r="H9" s="20">
        <f t="shared" si="2"/>
        <v>10000</v>
      </c>
      <c r="J9" s="13" t="s">
        <v>183</v>
      </c>
      <c r="K9" s="13" t="s">
        <v>84</v>
      </c>
    </row>
    <row r="10" spans="1:11" x14ac:dyDescent="0.35">
      <c r="A10" s="6" t="str">
        <f>IF(MPA!$B7="","",MPA!$B7)</f>
        <v>Pulau Tinggi Marine Park</v>
      </c>
      <c r="B10" s="6" t="str">
        <f>IF($A10="","",MPA!$C7)</f>
        <v>Malaysia, Johor</v>
      </c>
      <c r="C10" s="6" t="str">
        <f t="shared" si="0"/>
        <v>Johor</v>
      </c>
      <c r="D10" s="6" t="str">
        <f>IF($A10="","",MPA!$D7)</f>
        <v>MPA Most Restrictive</v>
      </c>
      <c r="E10" s="6" t="str">
        <f>IF($A10="","",MPA!$E7)</f>
        <v>100 km2</v>
      </c>
      <c r="F10" s="20">
        <f t="shared" si="1"/>
        <v>10000</v>
      </c>
      <c r="G10" s="24">
        <f>IF($A10="","",IFERROR(INDEX(CTRS_Control!$C$35:$C$40,MATCH($D10,CTRS_Control!$B$35:$B$40,0)),0))</f>
        <v>1</v>
      </c>
      <c r="H10" s="20">
        <f t="shared" si="2"/>
        <v>10000</v>
      </c>
      <c r="J10" s="13" t="s">
        <v>184</v>
      </c>
      <c r="K10" s="13" t="s">
        <v>85</v>
      </c>
    </row>
    <row r="11" spans="1:11" x14ac:dyDescent="0.35">
      <c r="A11" s="6" t="str">
        <f>IF(MPA!$B8="","",MPA!$B8)</f>
        <v>Pulau Pemanggil Marine Park</v>
      </c>
      <c r="B11" s="6" t="str">
        <f>IF($A11="","",MPA!$C8)</f>
        <v>Malaysia, Johor</v>
      </c>
      <c r="C11" s="6" t="str">
        <f t="shared" si="0"/>
        <v>Johor</v>
      </c>
      <c r="D11" s="6" t="str">
        <f>IF($A11="","",MPA!$D8)</f>
        <v>MPA Most Restrictive</v>
      </c>
      <c r="E11" s="6" t="str">
        <f>IF($A11="","",MPA!$E8)</f>
        <v>95 km2</v>
      </c>
      <c r="F11" s="20">
        <f t="shared" si="1"/>
        <v>9500</v>
      </c>
      <c r="G11" s="24">
        <f>IF($A11="","",IFERROR(INDEX(CTRS_Control!$C$35:$C$40,MATCH($D11,CTRS_Control!$B$35:$B$40,0)),0))</f>
        <v>1</v>
      </c>
      <c r="H11" s="20">
        <f t="shared" si="2"/>
        <v>9500</v>
      </c>
      <c r="J11" s="13" t="s">
        <v>185</v>
      </c>
      <c r="K11" s="13" t="s">
        <v>86</v>
      </c>
    </row>
    <row r="12" spans="1:11" x14ac:dyDescent="0.35">
      <c r="A12" s="6" t="str">
        <f>IF(MPA!$B9="","",MPA!$B9)</f>
        <v>Pulau Sibu Marine Park</v>
      </c>
      <c r="B12" s="6" t="str">
        <f>IF($A12="","",MPA!$C9)</f>
        <v>Malaysia, Johor</v>
      </c>
      <c r="C12" s="6" t="str">
        <f t="shared" si="0"/>
        <v>Johor</v>
      </c>
      <c r="D12" s="6" t="str">
        <f>IF($A12="","",MPA!$D9)</f>
        <v>MPA Most Restrictive</v>
      </c>
      <c r="E12" s="6" t="str">
        <f>IF($A12="","",MPA!$E9)</f>
        <v>90 km2</v>
      </c>
      <c r="F12" s="20">
        <f t="shared" si="1"/>
        <v>9000</v>
      </c>
      <c r="G12" s="24">
        <f>IF($A12="","",IFERROR(INDEX(CTRS_Control!$C$35:$C$40,MATCH($D12,CTRS_Control!$B$35:$B$40,0)),0))</f>
        <v>1</v>
      </c>
      <c r="H12" s="20">
        <f t="shared" si="2"/>
        <v>9000</v>
      </c>
      <c r="J12" s="13" t="s">
        <v>186</v>
      </c>
      <c r="K12" s="13" t="s">
        <v>86</v>
      </c>
    </row>
    <row r="13" spans="1:11" x14ac:dyDescent="0.35">
      <c r="A13" s="6" t="str">
        <f>IF(MPA!$B10="","",MPA!$B10)</f>
        <v>Pulau Babi Besar Marine Park</v>
      </c>
      <c r="B13" s="6" t="str">
        <f>IF($A13="","",MPA!$C10)</f>
        <v>Malaysia, Johor</v>
      </c>
      <c r="C13" s="6" t="str">
        <f t="shared" si="0"/>
        <v>Johor</v>
      </c>
      <c r="D13" s="6" t="str">
        <f>IF($A13="","",MPA!$D10)</f>
        <v>MPA Most Restrictive</v>
      </c>
      <c r="E13" s="6" t="str">
        <f>IF($A13="","",MPA!$E10)</f>
        <v>79 km2</v>
      </c>
      <c r="F13" s="20">
        <f t="shared" si="1"/>
        <v>7900</v>
      </c>
      <c r="G13" s="24">
        <f>IF($A13="","",IFERROR(INDEX(CTRS_Control!$C$35:$C$40,MATCH($D13,CTRS_Control!$B$35:$B$40,0)),0))</f>
        <v>1</v>
      </c>
      <c r="H13" s="20">
        <f t="shared" si="2"/>
        <v>7900</v>
      </c>
      <c r="J13" s="13" t="s">
        <v>187</v>
      </c>
      <c r="K13" s="13" t="s">
        <v>89</v>
      </c>
    </row>
    <row r="14" spans="1:11" x14ac:dyDescent="0.35">
      <c r="A14" s="6" t="str">
        <f>IF(MPA!$B11="","",MPA!$B11)</f>
        <v>Pulau Babi Hujong Marine Park</v>
      </c>
      <c r="B14" s="6" t="str">
        <f>IF($A14="","",MPA!$C11)</f>
        <v>Malaysia, Johor</v>
      </c>
      <c r="C14" s="6" t="str">
        <f t="shared" si="0"/>
        <v>Johor</v>
      </c>
      <c r="D14" s="6" t="str">
        <f>IF($A14="","",MPA!$D11)</f>
        <v>MPA Most Restrictive</v>
      </c>
      <c r="E14" s="6" t="str">
        <f>IF($A14="","",MPA!$E11)</f>
        <v>50 km2</v>
      </c>
      <c r="F14" s="20">
        <f t="shared" si="1"/>
        <v>5000</v>
      </c>
      <c r="G14" s="24">
        <f>IF($A14="","",IFERROR(INDEX(CTRS_Control!$C$35:$C$40,MATCH($D14,CTRS_Control!$B$35:$B$40,0)),0))</f>
        <v>1</v>
      </c>
      <c r="H14" s="20">
        <f t="shared" si="2"/>
        <v>5000</v>
      </c>
      <c r="J14" s="13" t="s">
        <v>188</v>
      </c>
      <c r="K14" s="13" t="s">
        <v>90</v>
      </c>
    </row>
    <row r="15" spans="1:11" x14ac:dyDescent="0.35">
      <c r="A15" s="6" t="str">
        <f>IF(MPA!$B12="","",MPA!$B12)</f>
        <v>Pulau Babi Tengah Marine Park</v>
      </c>
      <c r="B15" s="6" t="str">
        <f>IF($A15="","",MPA!$C12)</f>
        <v>Malaysia, Johor</v>
      </c>
      <c r="C15" s="6" t="str">
        <f t="shared" si="0"/>
        <v>Johor</v>
      </c>
      <c r="D15" s="6" t="str">
        <f>IF($A15="","",MPA!$D12)</f>
        <v>MPA Most Restrictive</v>
      </c>
      <c r="E15" s="6" t="str">
        <f>IF($A15="","",MPA!$E12)</f>
        <v>48 km2</v>
      </c>
      <c r="F15" s="20">
        <f t="shared" si="1"/>
        <v>4800</v>
      </c>
      <c r="G15" s="24">
        <f>IF($A15="","",IFERROR(INDEX(CTRS_Control!$C$35:$C$40,MATCH($D15,CTRS_Control!$B$35:$B$40,0)),0))</f>
        <v>1</v>
      </c>
      <c r="H15" s="20">
        <f t="shared" si="2"/>
        <v>4800</v>
      </c>
      <c r="J15" s="13" t="s">
        <v>189</v>
      </c>
      <c r="K15" s="13" t="s">
        <v>91</v>
      </c>
    </row>
    <row r="16" spans="1:11" x14ac:dyDescent="0.35">
      <c r="A16" s="6" t="str">
        <f>IF(MPA!$B13="","",MPA!$B13)</f>
        <v>Pulau Rawa Marine Park</v>
      </c>
      <c r="B16" s="6" t="str">
        <f>IF($A16="","",MPA!$C13)</f>
        <v>Malaysia, Johor</v>
      </c>
      <c r="C16" s="6" t="str">
        <f t="shared" si="0"/>
        <v>Johor</v>
      </c>
      <c r="D16" s="6" t="str">
        <f>IF($A16="","",MPA!$D13)</f>
        <v>MPA Most Restrictive</v>
      </c>
      <c r="E16" s="6" t="str">
        <f>IF($A16="","",MPA!$E13)</f>
        <v>48 km2</v>
      </c>
      <c r="F16" s="20">
        <f t="shared" si="1"/>
        <v>4800</v>
      </c>
      <c r="G16" s="24">
        <f>IF($A16="","",IFERROR(INDEX(CTRS_Control!$C$35:$C$40,MATCH($D16,CTRS_Control!$B$35:$B$40,0)),0))</f>
        <v>1</v>
      </c>
      <c r="H16" s="20">
        <f t="shared" si="2"/>
        <v>4800</v>
      </c>
      <c r="J16" s="13" t="s">
        <v>190</v>
      </c>
      <c r="K16" s="13" t="s">
        <v>93</v>
      </c>
    </row>
    <row r="17" spans="1:11" x14ac:dyDescent="0.35">
      <c r="A17" s="6" t="str">
        <f>IF(MPA!$B14="","",MPA!$B14)</f>
        <v>Pulau Harimau Marine Park</v>
      </c>
      <c r="B17" s="6" t="str">
        <f>IF($A17="","",MPA!$C14)</f>
        <v>Malaysia, Johor</v>
      </c>
      <c r="C17" s="6" t="str">
        <f t="shared" si="0"/>
        <v>Johor</v>
      </c>
      <c r="D17" s="6" t="str">
        <f>IF($A17="","",MPA!$D14)</f>
        <v>MPA Most Restrictive</v>
      </c>
      <c r="E17" s="6" t="str">
        <f>IF($A17="","",MPA!$E14)</f>
        <v>47 km2</v>
      </c>
      <c r="F17" s="20">
        <f t="shared" si="1"/>
        <v>4700</v>
      </c>
      <c r="G17" s="24">
        <f>IF($A17="","",IFERROR(INDEX(CTRS_Control!$C$35:$C$40,MATCH($D17,CTRS_Control!$B$35:$B$40,0)),0))</f>
        <v>1</v>
      </c>
      <c r="H17" s="20">
        <f t="shared" si="2"/>
        <v>4700</v>
      </c>
      <c r="J17" s="13" t="s">
        <v>191</v>
      </c>
      <c r="K17" s="13" t="s">
        <v>94</v>
      </c>
    </row>
    <row r="18" spans="1:11" x14ac:dyDescent="0.35">
      <c r="A18" s="6" t="str">
        <f>IF(MPA!$B15="","",MPA!$B15)</f>
        <v>Pulau Mensirip Marine Park</v>
      </c>
      <c r="B18" s="6" t="str">
        <f>IF($A18="","",MPA!$C15)</f>
        <v>Malaysia, Johor</v>
      </c>
      <c r="C18" s="6" t="str">
        <f t="shared" si="0"/>
        <v>Johor</v>
      </c>
      <c r="D18" s="6" t="str">
        <f>IF($A18="","",MPA!$D15)</f>
        <v>MPA Most Restrictive</v>
      </c>
      <c r="E18" s="6" t="str">
        <f>IF($A18="","",MPA!$E15)</f>
        <v>46 km2</v>
      </c>
      <c r="F18" s="20">
        <f t="shared" si="1"/>
        <v>4600</v>
      </c>
      <c r="G18" s="24">
        <f>IF($A18="","",IFERROR(INDEX(CTRS_Control!$C$35:$C$40,MATCH($D18,CTRS_Control!$B$35:$B$40,0)),0))</f>
        <v>1</v>
      </c>
      <c r="H18" s="20">
        <f t="shared" si="2"/>
        <v>4600</v>
      </c>
      <c r="J18" s="13" t="s">
        <v>192</v>
      </c>
      <c r="K18" s="13" t="s">
        <v>92</v>
      </c>
    </row>
    <row r="19" spans="1:11" x14ac:dyDescent="0.35">
      <c r="A19" s="6" t="str">
        <f>IF(MPA!$B16="","",MPA!$B16)</f>
        <v>Pulau Gual Marine Park</v>
      </c>
      <c r="B19" s="6" t="str">
        <f>IF($A19="","",MPA!$C16)</f>
        <v>Malaysia, Johor</v>
      </c>
      <c r="C19" s="6" t="str">
        <f t="shared" si="0"/>
        <v>Johor</v>
      </c>
      <c r="D19" s="6" t="str">
        <f>IF($A19="","",MPA!$D16)</f>
        <v>MPA Most Restrictive</v>
      </c>
      <c r="E19" s="6" t="str">
        <f>IF($A19="","",MPA!$E16)</f>
        <v>45 km2</v>
      </c>
      <c r="F19" s="20">
        <f t="shared" si="1"/>
        <v>4500</v>
      </c>
      <c r="G19" s="24">
        <f>IF($A19="","",IFERROR(INDEX(CTRS_Control!$C$35:$C$40,MATCH($D19,CTRS_Control!$B$35:$B$40,0)),0))</f>
        <v>1</v>
      </c>
      <c r="H19" s="20">
        <f t="shared" si="2"/>
        <v>4500</v>
      </c>
      <c r="J19" s="13" t="s">
        <v>193</v>
      </c>
      <c r="K19" s="13" t="s">
        <v>87</v>
      </c>
    </row>
    <row r="20" spans="1:11" x14ac:dyDescent="0.35">
      <c r="A20" s="6" t="str">
        <f>IF(MPA!$B17="","",MPA!$B17)</f>
        <v>Pulau Sibu Hujong Marine Park</v>
      </c>
      <c r="B20" s="6" t="str">
        <f>IF($A20="","",MPA!$C17)</f>
        <v>Malaysia, Johor</v>
      </c>
      <c r="C20" s="6" t="str">
        <f t="shared" si="0"/>
        <v>Johor</v>
      </c>
      <c r="D20" s="6" t="str">
        <f>IF($A20="","",MPA!$D17)</f>
        <v>MPA Most Restrictive</v>
      </c>
      <c r="E20" s="6" t="str">
        <f>IF($A20="","",MPA!$E17)</f>
        <v>45 km2</v>
      </c>
      <c r="F20" s="20">
        <f t="shared" si="1"/>
        <v>4500</v>
      </c>
      <c r="G20" s="24">
        <f>IF($A20="","",IFERROR(INDEX(CTRS_Control!$C$35:$C$40,MATCH($D20,CTRS_Control!$B$35:$B$40,0)),0))</f>
        <v>1</v>
      </c>
      <c r="H20" s="20">
        <f t="shared" si="2"/>
        <v>4500</v>
      </c>
      <c r="J20" s="13" t="s">
        <v>194</v>
      </c>
      <c r="K20" s="13" t="s">
        <v>83</v>
      </c>
    </row>
    <row r="21" spans="1:11" x14ac:dyDescent="0.35">
      <c r="A21" s="6" t="str">
        <f>IF(MPA!$B18="","",MPA!$B18)</f>
        <v>Pulau Mentigi Marine Park</v>
      </c>
      <c r="B21" s="6" t="str">
        <f>IF($A21="","",MPA!$C18)</f>
        <v>Malaysia, Johor</v>
      </c>
      <c r="C21" s="6" t="str">
        <f t="shared" si="0"/>
        <v>Johor</v>
      </c>
      <c r="D21" s="6" t="str">
        <f>IF($A21="","",MPA!$D18)</f>
        <v>MPA Most Restrictive</v>
      </c>
      <c r="E21" s="6" t="str">
        <f>IF($A21="","",MPA!$E18)</f>
        <v>33 km2</v>
      </c>
      <c r="F21" s="20">
        <f t="shared" si="1"/>
        <v>3300</v>
      </c>
      <c r="G21" s="24">
        <f>IF($A21="","",IFERROR(INDEX(CTRS_Control!$C$35:$C$40,MATCH($D21,CTRS_Control!$B$35:$B$40,0)),0))</f>
        <v>1</v>
      </c>
      <c r="H21" s="20">
        <f t="shared" si="2"/>
        <v>3300</v>
      </c>
      <c r="J21" s="13" t="s">
        <v>195</v>
      </c>
      <c r="K21" s="13" t="s">
        <v>88</v>
      </c>
    </row>
    <row r="22" spans="1:11" x14ac:dyDescent="0.35">
      <c r="A22" s="6" t="str">
        <f>IF(MPA!$B19="","",MPA!$B19)</f>
        <v>Tanjong Piai National Park</v>
      </c>
      <c r="B22" s="6" t="str">
        <f>IF($A22="","",MPA!$C19)</f>
        <v>Malaysia, Johor</v>
      </c>
      <c r="C22" s="6" t="str">
        <f t="shared" si="0"/>
        <v>Johor</v>
      </c>
      <c r="D22" s="6" t="str">
        <f>IF($A22="","",MPA!$D19)</f>
        <v>MPA Most Restrictive</v>
      </c>
      <c r="E22" s="6" t="str">
        <f>IF($A22="","",MPA!$E19)</f>
        <v>1 km2</v>
      </c>
      <c r="F22" s="20">
        <f t="shared" si="1"/>
        <v>100</v>
      </c>
      <c r="G22" s="24">
        <f>IF($A22="","",IFERROR(INDEX(CTRS_Control!$C$35:$C$40,MATCH($D22,CTRS_Control!$B$35:$B$40,0)),0))</f>
        <v>1</v>
      </c>
      <c r="H22" s="20">
        <f t="shared" si="2"/>
        <v>100</v>
      </c>
    </row>
    <row r="23" spans="1:11" x14ac:dyDescent="0.35">
      <c r="A23" s="6" t="str">
        <f>IF(MPA!$B20="","",MPA!$B20)</f>
        <v>Pulau Kukup National Park</v>
      </c>
      <c r="B23" s="6" t="str">
        <f>IF($A23="","",MPA!$C20)</f>
        <v>Malaysia, Johor</v>
      </c>
      <c r="C23" s="6" t="str">
        <f t="shared" si="0"/>
        <v>Johor</v>
      </c>
      <c r="D23" s="6" t="str">
        <f>IF($A23="","",MPA!$D20)</f>
        <v>MPA Most Restrictive</v>
      </c>
      <c r="E23" s="6" t="str">
        <f>IF($A23="","",MPA!$E20)</f>
        <v>0.48 km2</v>
      </c>
      <c r="F23" s="20">
        <f t="shared" si="1"/>
        <v>48</v>
      </c>
      <c r="G23" s="24">
        <f>IF($A23="","",IFERROR(INDEX(CTRS_Control!$C$35:$C$40,MATCH($D23,CTRS_Control!$B$35:$B$40,0)),0))</f>
        <v>1</v>
      </c>
      <c r="H23" s="20">
        <f t="shared" si="2"/>
        <v>48</v>
      </c>
    </row>
    <row r="24" spans="1:11" x14ac:dyDescent="0.35">
      <c r="A24" s="6" t="str">
        <f>IF(MPA!$B21="","",MPA!$B21)</f>
        <v>Endau-Kota Tinggi</v>
      </c>
      <c r="B24" s="6" t="str">
        <f>IF($A24="","",MPA!$C21)</f>
        <v>Malaysia, Johor</v>
      </c>
      <c r="C24" s="6" t="str">
        <f t="shared" si="0"/>
        <v>Johor</v>
      </c>
      <c r="D24" s="6" t="str">
        <f>IF($A24="","",MPA!$D21)</f>
        <v>MPA Least Restrictive</v>
      </c>
      <c r="E24" s="6" t="str">
        <f>IF($A24="","",MPA!$E21)</f>
        <v>0.08 km2</v>
      </c>
      <c r="F24" s="20">
        <f t="shared" si="1"/>
        <v>8</v>
      </c>
      <c r="G24" s="24">
        <f>IF($A24="","",IFERROR(INDEX(CTRS_Control!$C$35:$C$40,MATCH($D24,CTRS_Control!$B$35:$B$40,0)),0))</f>
        <v>0.5</v>
      </c>
      <c r="H24" s="20">
        <f t="shared" si="2"/>
        <v>4</v>
      </c>
    </row>
    <row r="25" spans="1:11" x14ac:dyDescent="0.35">
      <c r="A25" s="6" t="str">
        <f>IF(MPA!$B22="","",MPA!$B22)</f>
        <v>Four Islands Sanctuary</v>
      </c>
      <c r="B25" s="6" t="str">
        <f>IF($A25="","",MPA!$C22)</f>
        <v>Malaysia, Johor</v>
      </c>
      <c r="C25" s="6" t="str">
        <f t="shared" si="0"/>
        <v>Johor</v>
      </c>
      <c r="D25" s="6" t="str">
        <f>IF($A25="","",MPA!$D22)</f>
        <v>MPA Least Restrictive</v>
      </c>
      <c r="E25" s="6" t="str">
        <f>IF($A25="","",MPA!$E22)</f>
        <v>0.03 km2</v>
      </c>
      <c r="F25" s="20">
        <f t="shared" si="1"/>
        <v>3</v>
      </c>
      <c r="G25" s="24">
        <f>IF($A25="","",IFERROR(INDEX(CTRS_Control!$C$35:$C$40,MATCH($D25,CTRS_Control!$B$35:$B$40,0)),0))</f>
        <v>0.5</v>
      </c>
      <c r="H25" s="20">
        <f t="shared" si="2"/>
        <v>1.5</v>
      </c>
    </row>
    <row r="26" spans="1:11" x14ac:dyDescent="0.35">
      <c r="A26" s="6" t="str">
        <f>IF(MPA!$B23="","",MPA!$B23)</f>
        <v>Pulau Payar Marine Park</v>
      </c>
      <c r="B26" s="6" t="str">
        <f>IF($A26="","",MPA!$C23)</f>
        <v>Malaysia, Kedah</v>
      </c>
      <c r="C26" s="6" t="str">
        <f t="shared" si="0"/>
        <v>Kedah</v>
      </c>
      <c r="D26" s="6" t="str">
        <f>IF($A26="","",MPA!$D23)</f>
        <v>MPA Most Restrictive</v>
      </c>
      <c r="E26" s="6" t="str">
        <f>IF($A26="","",MPA!$E23)</f>
        <v>55 km2</v>
      </c>
      <c r="F26" s="20">
        <f t="shared" si="1"/>
        <v>5500</v>
      </c>
      <c r="G26" s="24">
        <f>IF($A26="","",IFERROR(INDEX(CTRS_Control!$C$35:$C$40,MATCH($D26,CTRS_Control!$B$35:$B$40,0)),0))</f>
        <v>1</v>
      </c>
      <c r="H26" s="20">
        <f t="shared" si="2"/>
        <v>5500</v>
      </c>
    </row>
    <row r="27" spans="1:11" x14ac:dyDescent="0.35">
      <c r="A27" s="6" t="str">
        <f>IF(MPA!$B24="","",MPA!$B24)</f>
        <v>Pulau Lembu Marine Park</v>
      </c>
      <c r="B27" s="6" t="str">
        <f>IF($A27="","",MPA!$C24)</f>
        <v>Malaysia, Kedah</v>
      </c>
      <c r="C27" s="6" t="str">
        <f t="shared" si="0"/>
        <v>Kedah</v>
      </c>
      <c r="D27" s="6" t="str">
        <f>IF($A27="","",MPA!$D24)</f>
        <v>MPA Most Restrictive</v>
      </c>
      <c r="E27" s="6" t="str">
        <f>IF($A27="","",MPA!$E24)</f>
        <v>45 km2</v>
      </c>
      <c r="F27" s="20">
        <f t="shared" si="1"/>
        <v>4500</v>
      </c>
      <c r="G27" s="24">
        <f>IF($A27="","",IFERROR(INDEX(CTRS_Control!$C$35:$C$40,MATCH($D27,CTRS_Control!$B$35:$B$40,0)),0))</f>
        <v>1</v>
      </c>
      <c r="H27" s="20">
        <f t="shared" si="2"/>
        <v>4500</v>
      </c>
    </row>
    <row r="28" spans="1:11" x14ac:dyDescent="0.35">
      <c r="A28" s="6" t="str">
        <f>IF(MPA!$B25="","",MPA!$B25)</f>
        <v>Pulau Kacha Marine Park</v>
      </c>
      <c r="B28" s="6" t="str">
        <f>IF($A28="","",MPA!$C25)</f>
        <v>Malaysia, Kedah</v>
      </c>
      <c r="C28" s="6" t="str">
        <f t="shared" si="0"/>
        <v>Kedah</v>
      </c>
      <c r="D28" s="6" t="str">
        <f>IF($A28="","",MPA!$D25)</f>
        <v>MPA Most Restrictive</v>
      </c>
      <c r="E28" s="6" t="str">
        <f>IF($A28="","",MPA!$E25)</f>
        <v>44 km2</v>
      </c>
      <c r="F28" s="20">
        <f t="shared" si="1"/>
        <v>4400</v>
      </c>
      <c r="G28" s="24">
        <f>IF($A28="","",IFERROR(INDEX(CTRS_Control!$C$35:$C$40,MATCH($D28,CTRS_Control!$B$35:$B$40,0)),0))</f>
        <v>1</v>
      </c>
      <c r="H28" s="20">
        <f t="shared" si="2"/>
        <v>4400</v>
      </c>
    </row>
    <row r="29" spans="1:11" x14ac:dyDescent="0.35">
      <c r="A29" s="6" t="str">
        <f>IF(MPA!$B26="","",MPA!$B26)</f>
        <v>Pulau Segantang Marine Park</v>
      </c>
      <c r="B29" s="6" t="str">
        <f>IF($A29="","",MPA!$C26)</f>
        <v>Malaysia, Kedah</v>
      </c>
      <c r="C29" s="6" t="str">
        <f t="shared" si="0"/>
        <v>Kedah</v>
      </c>
      <c r="D29" s="6" t="str">
        <f>IF($A29="","",MPA!$D26)</f>
        <v>MPA Most Restrictive</v>
      </c>
      <c r="E29" s="6" t="str">
        <f>IF($A29="","",MPA!$E26)</f>
        <v>43 km2</v>
      </c>
      <c r="F29" s="20">
        <f t="shared" si="1"/>
        <v>4300</v>
      </c>
      <c r="G29" s="24">
        <f>IF($A29="","",IFERROR(INDEX(CTRS_Control!$C$35:$C$40,MATCH($D29,CTRS_Control!$B$35:$B$40,0)),0))</f>
        <v>1</v>
      </c>
      <c r="H29" s="20">
        <f t="shared" si="2"/>
        <v>4300</v>
      </c>
    </row>
    <row r="30" spans="1:11" x14ac:dyDescent="0.35">
      <c r="A30" s="6" t="str">
        <f>IF(MPA!$B27="","",MPA!$B27)</f>
        <v>Pulau Singa Besar Sea Cucumber Protection Area</v>
      </c>
      <c r="B30" s="6" t="str">
        <f>IF($A30="","",MPA!$C27)</f>
        <v>Malaysia, Kedah</v>
      </c>
      <c r="C30" s="6" t="str">
        <f t="shared" si="0"/>
        <v>Kedah</v>
      </c>
      <c r="D30" s="6" t="str">
        <f>IF($A30="","",MPA!$D27)</f>
        <v>Non-MPA Fisheries Management Area</v>
      </c>
      <c r="E30" s="6" t="str">
        <f>IF($A30="","",MPA!$E27)</f>
        <v>0.38 km2</v>
      </c>
      <c r="F30" s="20">
        <f t="shared" si="1"/>
        <v>38</v>
      </c>
      <c r="G30" s="24">
        <f>IF($A30="","",IFERROR(INDEX(CTRS_Control!$C$35:$C$40,MATCH($D30,CTRS_Control!$B$35:$B$40,0)),0))</f>
        <v>0</v>
      </c>
      <c r="H30" s="20">
        <f t="shared" si="2"/>
        <v>0</v>
      </c>
    </row>
    <row r="31" spans="1:11" x14ac:dyDescent="0.35">
      <c r="A31" s="6" t="str">
        <f>IF(MPA!$B28="","",MPA!$B28)</f>
        <v>Pulau Besar Fisheries Prohibited Areas</v>
      </c>
      <c r="B31" s="6" t="str">
        <f>IF($A31="","",MPA!$C28)</f>
        <v>Malaysia, Malacca</v>
      </c>
      <c r="C31" s="6" t="str">
        <f t="shared" si="0"/>
        <v>Melaka</v>
      </c>
      <c r="D31" s="6" t="str">
        <f>IF($A31="","",MPA!$D28)</f>
        <v>MPA Less Restrictive</v>
      </c>
      <c r="E31" s="6" t="str">
        <f>IF($A31="","",MPA!$E28)</f>
        <v>20 km2</v>
      </c>
      <c r="F31" s="20">
        <f t="shared" si="1"/>
        <v>2000</v>
      </c>
      <c r="G31" s="24">
        <f>IF($A31="","",IFERROR(INDEX(CTRS_Control!$C$35:$C$40,MATCH($D31,CTRS_Control!$B$35:$B$40,0)),0))</f>
        <v>0.66666666666666663</v>
      </c>
      <c r="H31" s="20">
        <f t="shared" si="2"/>
        <v>1333.3333333333333</v>
      </c>
    </row>
    <row r="32" spans="1:11" x14ac:dyDescent="0.35">
      <c r="A32" s="6" t="str">
        <f>IF(MPA!$B29="","",MPA!$B29)</f>
        <v>Tanjung Tuan Fisheries Prohibited Areas</v>
      </c>
      <c r="B32" s="6" t="str">
        <f>IF($A32="","",MPA!$C29)</f>
        <v>Malaysia, Malacca</v>
      </c>
      <c r="C32" s="6" t="str">
        <f t="shared" si="0"/>
        <v>Melaka</v>
      </c>
      <c r="D32" s="6" t="str">
        <f>IF($A32="","",MPA!$D29)</f>
        <v>MPA Less Restrictive</v>
      </c>
      <c r="E32" s="6" t="str">
        <f>IF($A32="","",MPA!$E29)</f>
        <v>3 km2</v>
      </c>
      <c r="F32" s="20">
        <f t="shared" si="1"/>
        <v>300</v>
      </c>
      <c r="G32" s="24">
        <f>IF($A32="","",IFERROR(INDEX(CTRS_Control!$C$35:$C$40,MATCH($D32,CTRS_Control!$B$35:$B$40,0)),0))</f>
        <v>0.66666666666666663</v>
      </c>
      <c r="H32" s="20">
        <f t="shared" si="2"/>
        <v>200</v>
      </c>
    </row>
    <row r="33" spans="1:8" x14ac:dyDescent="0.35">
      <c r="A33" s="6" t="str">
        <f>IF(MPA!$B30="","",MPA!$B30)</f>
        <v>Nine Islands</v>
      </c>
      <c r="B33" s="6" t="str">
        <f>IF($A33="","",MPA!$C30)</f>
        <v>Malaysia, Malacca</v>
      </c>
      <c r="C33" s="6" t="str">
        <f t="shared" si="0"/>
        <v>Melaka</v>
      </c>
      <c r="D33" s="6" t="str">
        <f>IF($A33="","",MPA!$D30)</f>
        <v>MPA Least Restrictive</v>
      </c>
      <c r="E33" s="6" t="str">
        <f>IF($A33="","",MPA!$E30)</f>
        <v>0.16 km2</v>
      </c>
      <c r="F33" s="20">
        <f t="shared" si="1"/>
        <v>16</v>
      </c>
      <c r="G33" s="24">
        <f>IF($A33="","",IFERROR(INDEX(CTRS_Control!$C$35:$C$40,MATCH($D33,CTRS_Control!$B$35:$B$40,0)),0))</f>
        <v>0.5</v>
      </c>
      <c r="H33" s="20">
        <f t="shared" si="2"/>
        <v>8</v>
      </c>
    </row>
    <row r="34" spans="1:8" x14ac:dyDescent="0.35">
      <c r="A34" s="6" t="str">
        <f>IF(MPA!$B31="","",MPA!$B31)</f>
        <v>Tanjung Tuan</v>
      </c>
      <c r="B34" s="6" t="str">
        <f>IF($A34="","",MPA!$C31)</f>
        <v>Malaysia, Malacca</v>
      </c>
      <c r="C34" s="6" t="str">
        <f t="shared" si="0"/>
        <v>Melaka</v>
      </c>
      <c r="D34" s="6" t="str">
        <f>IF($A34="","",MPA!$D31)</f>
        <v>MPA Least Restrictive</v>
      </c>
      <c r="E34" s="6" t="str">
        <f>IF($A34="","",MPA!$E31)</f>
        <v>0.02 km2</v>
      </c>
      <c r="F34" s="20">
        <f t="shared" si="1"/>
        <v>2</v>
      </c>
      <c r="G34" s="24">
        <f>IF($A34="","",IFERROR(INDEX(CTRS_Control!$C$35:$C$40,MATCH($D34,CTRS_Control!$B$35:$B$40,0)),0))</f>
        <v>0.5</v>
      </c>
      <c r="H34" s="20">
        <f t="shared" si="2"/>
        <v>1</v>
      </c>
    </row>
    <row r="35" spans="1:8" x14ac:dyDescent="0.35">
      <c r="A35" s="6" t="str">
        <f>IF(MPA!$B32="","",MPA!$B32)</f>
        <v>Tanjung Tuan 2 Fisheries Prohibited Areas</v>
      </c>
      <c r="B35" s="6" t="str">
        <f>IF($A35="","",MPA!$C32)</f>
        <v>Malaysia, Negeri Sembilan</v>
      </c>
      <c r="C35" s="6" t="str">
        <f t="shared" si="0"/>
        <v>Negeri Sembilan</v>
      </c>
      <c r="D35" s="6" t="str">
        <f>IF($A35="","",MPA!$D32)</f>
        <v>MPA Less Restrictive</v>
      </c>
      <c r="E35" s="6" t="str">
        <f>IF($A35="","",MPA!$E32)</f>
        <v>12 km2</v>
      </c>
      <c r="F35" s="20">
        <f t="shared" si="1"/>
        <v>1200</v>
      </c>
      <c r="G35" s="24">
        <f>IF($A35="","",IFERROR(INDEX(CTRS_Control!$C$35:$C$40,MATCH($D35,CTRS_Control!$B$35:$B$40,0)),0))</f>
        <v>0.66666666666666663</v>
      </c>
      <c r="H35" s="20">
        <f t="shared" si="2"/>
        <v>800</v>
      </c>
    </row>
    <row r="36" spans="1:8" x14ac:dyDescent="0.35">
      <c r="A36" s="6" t="str">
        <f>IF(MPA!$B33="","",MPA!$B33)</f>
        <v>Tanjung Tuan 1 Fisheries Prohibited Areas</v>
      </c>
      <c r="B36" s="6" t="str">
        <f>IF($A36="","",MPA!$C33)</f>
        <v>Malaysia, Negeri Sembilan</v>
      </c>
      <c r="C36" s="6" t="str">
        <f t="shared" si="0"/>
        <v>Negeri Sembilan</v>
      </c>
      <c r="D36" s="6" t="str">
        <f>IF($A36="","",MPA!$D33)</f>
        <v>MPA Less Restrictive</v>
      </c>
      <c r="E36" s="6" t="str">
        <f>IF($A36="","",MPA!$E33)</f>
        <v>7 km2</v>
      </c>
      <c r="F36" s="20">
        <f t="shared" si="1"/>
        <v>700</v>
      </c>
      <c r="G36" s="24">
        <f>IF($A36="","",IFERROR(INDEX(CTRS_Control!$C$35:$C$40,MATCH($D36,CTRS_Control!$B$35:$B$40,0)),0))</f>
        <v>0.66666666666666663</v>
      </c>
      <c r="H36" s="20">
        <f t="shared" si="2"/>
        <v>466.66666666666663</v>
      </c>
    </row>
    <row r="37" spans="1:8" x14ac:dyDescent="0.35">
      <c r="A37" s="6" t="str">
        <f>IF(MPA!$B34="","",MPA!$B34)</f>
        <v>Port Dickson Island Bird Sanctuary</v>
      </c>
      <c r="B37" s="6" t="str">
        <f>IF($A37="","",MPA!$C34)</f>
        <v>Malaysia, Negeri Sembilan</v>
      </c>
      <c r="C37" s="6" t="str">
        <f t="shared" si="0"/>
        <v>Negeri Sembilan</v>
      </c>
      <c r="D37" s="6" t="str">
        <f>IF($A37="","",MPA!$D34)</f>
        <v>MPA Least Restrictive</v>
      </c>
      <c r="E37" s="6" t="str">
        <f>IF($A37="","",MPA!$E34)</f>
        <v>0.04 km2</v>
      </c>
      <c r="F37" s="20">
        <f t="shared" si="1"/>
        <v>4</v>
      </c>
      <c r="G37" s="24">
        <f>IF($A37="","",IFERROR(INDEX(CTRS_Control!$C$35:$C$40,MATCH($D37,CTRS_Control!$B$35:$B$40,0)),0))</f>
        <v>0.5</v>
      </c>
      <c r="H37" s="20">
        <f t="shared" si="2"/>
        <v>2</v>
      </c>
    </row>
    <row r="38" spans="1:8" x14ac:dyDescent="0.35">
      <c r="A38" s="6" t="str">
        <f>IF(MPA!$B35="","",MPA!$B35)</f>
        <v>Pulau Tioman Marine Park</v>
      </c>
      <c r="B38" s="6" t="str">
        <f>IF($A38="","",MPA!$C35)</f>
        <v>Malaysia, Pahang</v>
      </c>
      <c r="C38" s="6" t="str">
        <f t="shared" ref="C38:C69" si="3">IF($A38="","",IFERROR(INDEX($K$6:$K$25,MATCH($B38,$J$6:$J$25,0)),"?"))</f>
        <v>Pahang</v>
      </c>
      <c r="D38" s="6" t="str">
        <f>IF($A38="","",MPA!$D35)</f>
        <v>MPA Most Restrictive</v>
      </c>
      <c r="E38" s="6" t="str">
        <f>IF($A38="","",MPA!$E35)</f>
        <v>443 km2</v>
      </c>
      <c r="F38" s="20">
        <f t="shared" ref="F38:F69" si="4">IF($A38="","",IFERROR(VALUE(SUBSTITUTE(SUBSTITUTE(SUBSTITUTE($E38,"&lt;",""),",","")," km2",""))*100,0))</f>
        <v>44300</v>
      </c>
      <c r="G38" s="24">
        <f>IF($A38="","",IFERROR(INDEX(CTRS_Control!$C$35:$C$40,MATCH($D38,CTRS_Control!$B$35:$B$40,0)),0))</f>
        <v>1</v>
      </c>
      <c r="H38" s="20">
        <f t="shared" ref="H38:H69" si="5">IF($A38="","",$F38*$G38)</f>
        <v>44300</v>
      </c>
    </row>
    <row r="39" spans="1:8" x14ac:dyDescent="0.35">
      <c r="A39" s="6" t="str">
        <f>IF(MPA!$B36="","",MPA!$B36)</f>
        <v>Kuala Pahang</v>
      </c>
      <c r="B39" s="6" t="str">
        <f>IF($A39="","",MPA!$C36)</f>
        <v>Malaysia, Pahang</v>
      </c>
      <c r="C39" s="6" t="str">
        <f t="shared" si="3"/>
        <v>Pahang</v>
      </c>
      <c r="D39" s="6" t="str">
        <f>IF($A39="","",MPA!$D36)</f>
        <v>MPA Least Restrictive</v>
      </c>
      <c r="E39" s="6" t="str">
        <f>IF($A39="","",MPA!$E36)</f>
        <v>0.91 km2</v>
      </c>
      <c r="F39" s="20">
        <f t="shared" si="4"/>
        <v>91</v>
      </c>
      <c r="G39" s="24">
        <f>IF($A39="","",IFERROR(INDEX(CTRS_Control!$C$35:$C$40,MATCH($D39,CTRS_Control!$B$35:$B$40,0)),0))</f>
        <v>0.5</v>
      </c>
      <c r="H39" s="20">
        <f t="shared" si="5"/>
        <v>45.5</v>
      </c>
    </row>
    <row r="40" spans="1:8" x14ac:dyDescent="0.35">
      <c r="A40" s="6" t="str">
        <f>IF(MPA!$B37="","",MPA!$B37)</f>
        <v>Bebar</v>
      </c>
      <c r="B40" s="6" t="str">
        <f>IF($A40="","",MPA!$C37)</f>
        <v>Malaysia, Pahang</v>
      </c>
      <c r="C40" s="6" t="str">
        <f t="shared" si="3"/>
        <v>Pahang</v>
      </c>
      <c r="D40" s="6" t="str">
        <f>IF($A40="","",MPA!$D37)</f>
        <v>MPA Least Restrictive</v>
      </c>
      <c r="E40" s="6" t="str">
        <f>IF($A40="","",MPA!$E37)</f>
        <v>0.09 km2</v>
      </c>
      <c r="F40" s="20">
        <f t="shared" si="4"/>
        <v>9</v>
      </c>
      <c r="G40" s="24">
        <f>IF($A40="","",IFERROR(INDEX(CTRS_Control!$C$35:$C$40,MATCH($D40,CTRS_Control!$B$35:$B$40,0)),0))</f>
        <v>0.5</v>
      </c>
      <c r="H40" s="20">
        <f t="shared" si="5"/>
        <v>4.5</v>
      </c>
    </row>
    <row r="41" spans="1:8" x14ac:dyDescent="0.35">
      <c r="A41" s="6" t="str">
        <f>IF(MPA!$B38="","",MPA!$B38)</f>
        <v>Pahang Tua</v>
      </c>
      <c r="B41" s="6" t="str">
        <f>IF($A41="","",MPA!$C38)</f>
        <v>Malaysia, Pahang</v>
      </c>
      <c r="C41" s="6" t="str">
        <f t="shared" si="3"/>
        <v>Pahang</v>
      </c>
      <c r="D41" s="6" t="str">
        <f>IF($A41="","",MPA!$D38)</f>
        <v>MPA Least Restrictive</v>
      </c>
      <c r="E41" s="6" t="str">
        <f>IF($A41="","",MPA!$E38)</f>
        <v>0.06 km2</v>
      </c>
      <c r="F41" s="20">
        <f t="shared" si="4"/>
        <v>6</v>
      </c>
      <c r="G41" s="24">
        <f>IF($A41="","",IFERROR(INDEX(CTRS_Control!$C$35:$C$40,MATCH($D41,CTRS_Control!$B$35:$B$40,0)),0))</f>
        <v>0.5</v>
      </c>
      <c r="H41" s="20">
        <f t="shared" si="5"/>
        <v>3</v>
      </c>
    </row>
    <row r="42" spans="1:8" x14ac:dyDescent="0.35">
      <c r="A42" s="6" t="str">
        <f>IF(MPA!$B39="","",MPA!$B39)</f>
        <v>Tioman Island</v>
      </c>
      <c r="B42" s="6" t="str">
        <f>IF($A42="","",MPA!$C39)</f>
        <v>Malaysia, Pahang</v>
      </c>
      <c r="C42" s="6" t="str">
        <f t="shared" si="3"/>
        <v>Pahang</v>
      </c>
      <c r="D42" s="6" t="str">
        <f>IF($A42="","",MPA!$D39)</f>
        <v>MPA Least Restrictive</v>
      </c>
      <c r="E42" s="6" t="str">
        <f>IF($A42="","",MPA!$E39)</f>
        <v>0.03 km2</v>
      </c>
      <c r="F42" s="20">
        <f t="shared" si="4"/>
        <v>3</v>
      </c>
      <c r="G42" s="24">
        <f>IF($A42="","",IFERROR(INDEX(CTRS_Control!$C$35:$C$40,MATCH($D42,CTRS_Control!$B$35:$B$40,0)),0))</f>
        <v>0.5</v>
      </c>
      <c r="H42" s="20">
        <f t="shared" si="5"/>
        <v>1.5</v>
      </c>
    </row>
    <row r="43" spans="1:8" x14ac:dyDescent="0.35">
      <c r="A43" s="6" t="str">
        <f>IF(MPA!$B40="","",MPA!$B40)</f>
        <v>Sungai Miang</v>
      </c>
      <c r="B43" s="6" t="str">
        <f>IF($A43="","",MPA!$C40)</f>
        <v>Malaysia, Pahang</v>
      </c>
      <c r="C43" s="6" t="str">
        <f t="shared" si="3"/>
        <v>Pahang</v>
      </c>
      <c r="D43" s="6" t="str">
        <f>IF($A43="","",MPA!$D40)</f>
        <v>MPA Least Restrictive</v>
      </c>
      <c r="E43" s="6" t="str">
        <f>IF($A43="","",MPA!$E40)</f>
        <v>0.03 km2</v>
      </c>
      <c r="F43" s="20">
        <f t="shared" si="4"/>
        <v>3</v>
      </c>
      <c r="G43" s="24">
        <f>IF($A43="","",IFERROR(INDEX(CTRS_Control!$C$35:$C$40,MATCH($D43,CTRS_Control!$B$35:$B$40,0)),0))</f>
        <v>0.5</v>
      </c>
      <c r="H43" s="20">
        <f t="shared" si="5"/>
        <v>1.5</v>
      </c>
    </row>
    <row r="44" spans="1:8" x14ac:dyDescent="0.35">
      <c r="A44" s="6" t="str">
        <f>IF(MPA!$B41="","",MPA!$B41)</f>
        <v>Pulau Seri Buat and Pulau Sembilang Marine Parks</v>
      </c>
      <c r="B44" s="6" t="str">
        <f>IF($A44="","",MPA!$C41)</f>
        <v>Malaysia, Pehang</v>
      </c>
      <c r="C44" s="6" t="str">
        <f t="shared" si="3"/>
        <v>Pahang</v>
      </c>
      <c r="D44" s="6" t="str">
        <f>IF($A44="","",MPA!$D41)</f>
        <v>MPA Most Restrictive</v>
      </c>
      <c r="E44" s="6" t="str">
        <f>IF($A44="","",MPA!$E41)</f>
        <v>92 km2</v>
      </c>
      <c r="F44" s="20">
        <f t="shared" si="4"/>
        <v>9200</v>
      </c>
      <c r="G44" s="24">
        <f>IF($A44="","",IFERROR(INDEX(CTRS_Control!$C$35:$C$40,MATCH($D44,CTRS_Control!$B$35:$B$40,0)),0))</f>
        <v>1</v>
      </c>
      <c r="H44" s="20">
        <f t="shared" si="5"/>
        <v>9200</v>
      </c>
    </row>
    <row r="45" spans="1:8" x14ac:dyDescent="0.35">
      <c r="A45" s="6" t="str">
        <f>IF(MPA!$B42="","",MPA!$B42)</f>
        <v>Sugud Islands Marine Conservation Area - SIMCA</v>
      </c>
      <c r="B45" s="6" t="str">
        <f>IF($A45="","",MPA!$C42)</f>
        <v>Malaysia, Sabah</v>
      </c>
      <c r="C45" s="6" t="str">
        <f t="shared" si="3"/>
        <v>Sabah</v>
      </c>
      <c r="D45" s="6" t="str">
        <f>IF($A45="","",MPA!$D42)</f>
        <v>MPA Most Restrictive</v>
      </c>
      <c r="E45" s="6" t="str">
        <f>IF($A45="","",MPA!$E42)</f>
        <v>454 km2</v>
      </c>
      <c r="F45" s="20">
        <f t="shared" si="4"/>
        <v>45400</v>
      </c>
      <c r="G45" s="24">
        <f>IF($A45="","",IFERROR(INDEX(CTRS_Control!$C$35:$C$40,MATCH($D45,CTRS_Control!$B$35:$B$40,0)),0))</f>
        <v>1</v>
      </c>
      <c r="H45" s="20">
        <f t="shared" si="5"/>
        <v>45400</v>
      </c>
    </row>
    <row r="46" spans="1:8" x14ac:dyDescent="0.35">
      <c r="A46" s="6" t="str">
        <f>IF(MPA!$B43="","",MPA!$B43)</f>
        <v>Tun Sakaran Marine Park</v>
      </c>
      <c r="B46" s="6" t="str">
        <f>IF($A46="","",MPA!$C43)</f>
        <v>Malaysia, Sabah</v>
      </c>
      <c r="C46" s="6" t="str">
        <f t="shared" si="3"/>
        <v>Sabah</v>
      </c>
      <c r="D46" s="6" t="str">
        <f>IF($A46="","",MPA!$D43)</f>
        <v>MPA Most Restrictive</v>
      </c>
      <c r="E46" s="6" t="str">
        <f>IF($A46="","",MPA!$E43)</f>
        <v>346 km2</v>
      </c>
      <c r="F46" s="20">
        <f t="shared" si="4"/>
        <v>34600</v>
      </c>
      <c r="G46" s="24">
        <f>IF($A46="","",IFERROR(INDEX(CTRS_Control!$C$35:$C$40,MATCH($D46,CTRS_Control!$B$35:$B$40,0)),0))</f>
        <v>1</v>
      </c>
      <c r="H46" s="20">
        <f t="shared" si="5"/>
        <v>34600</v>
      </c>
    </row>
    <row r="47" spans="1:8" x14ac:dyDescent="0.35">
      <c r="A47" s="6" t="str">
        <f>IF(MPA!$B44="","",MPA!$B44)</f>
        <v>Sipadan Island Park</v>
      </c>
      <c r="B47" s="6" t="str">
        <f>IF($A47="","",MPA!$C44)</f>
        <v>Malaysia, Sabah</v>
      </c>
      <c r="C47" s="6" t="str">
        <f t="shared" si="3"/>
        <v>Sabah</v>
      </c>
      <c r="D47" s="6" t="str">
        <f>IF($A47="","",MPA!$D44)</f>
        <v>MPA Most Restrictive</v>
      </c>
      <c r="E47" s="6" t="str">
        <f>IF($A47="","",MPA!$E44)</f>
        <v>168 km2</v>
      </c>
      <c r="F47" s="20">
        <f t="shared" si="4"/>
        <v>16800</v>
      </c>
      <c r="G47" s="24">
        <f>IF($A47="","",IFERROR(INDEX(CTRS_Control!$C$35:$C$40,MATCH($D47,CTRS_Control!$B$35:$B$40,0)),0))</f>
        <v>1</v>
      </c>
      <c r="H47" s="20">
        <f t="shared" si="5"/>
        <v>16800</v>
      </c>
    </row>
    <row r="48" spans="1:8" x14ac:dyDescent="0.35">
      <c r="A48" s="6" t="str">
        <f>IF(MPA!$B45="","",MPA!$B45)</f>
        <v>Pulau Tiga Park Marine Park</v>
      </c>
      <c r="B48" s="6" t="str">
        <f>IF($A48="","",MPA!$C45)</f>
        <v>Malaysia, Sabah</v>
      </c>
      <c r="C48" s="6" t="str">
        <f t="shared" si="3"/>
        <v>Sabah</v>
      </c>
      <c r="D48" s="6" t="str">
        <f>IF($A48="","",MPA!$D45)</f>
        <v>MPA Most Restrictive</v>
      </c>
      <c r="E48" s="6" t="str">
        <f>IF($A48="","",MPA!$E45)</f>
        <v>155 km2</v>
      </c>
      <c r="F48" s="20">
        <f t="shared" si="4"/>
        <v>15500</v>
      </c>
      <c r="G48" s="24">
        <f>IF($A48="","",IFERROR(INDEX(CTRS_Control!$C$35:$C$40,MATCH($D48,CTRS_Control!$B$35:$B$40,0)),0))</f>
        <v>1</v>
      </c>
      <c r="H48" s="20">
        <f t="shared" si="5"/>
        <v>15500</v>
      </c>
    </row>
    <row r="49" spans="1:8" x14ac:dyDescent="0.35">
      <c r="A49" s="6" t="str">
        <f>IF(MPA!$B46="","",MPA!$B46)</f>
        <v>Tunku Abdul Rahman Park</v>
      </c>
      <c r="B49" s="6" t="str">
        <f>IF($A49="","",MPA!$C46)</f>
        <v>Malaysia, Sabah</v>
      </c>
      <c r="C49" s="6" t="str">
        <f t="shared" si="3"/>
        <v>Sabah</v>
      </c>
      <c r="D49" s="6" t="str">
        <f>IF($A49="","",MPA!$D46)</f>
        <v>MPA Most Restrictive</v>
      </c>
      <c r="E49" s="6" t="str">
        <f>IF($A49="","",MPA!$E46)</f>
        <v>36 km2</v>
      </c>
      <c r="F49" s="20">
        <f t="shared" si="4"/>
        <v>3600</v>
      </c>
      <c r="G49" s="24">
        <f>IF($A49="","",IFERROR(INDEX(CTRS_Control!$C$35:$C$40,MATCH($D49,CTRS_Control!$B$35:$B$40,0)),0))</f>
        <v>1</v>
      </c>
      <c r="H49" s="20">
        <f t="shared" si="5"/>
        <v>3600</v>
      </c>
    </row>
    <row r="50" spans="1:8" x14ac:dyDescent="0.35">
      <c r="A50" s="6" t="str">
        <f>IF(MPA!$B47="","",MPA!$B47)</f>
        <v>Turtle Islands Park</v>
      </c>
      <c r="B50" s="6" t="str">
        <f>IF($A50="","",MPA!$C47)</f>
        <v>Malaysia, Sabah</v>
      </c>
      <c r="C50" s="6" t="str">
        <f t="shared" si="3"/>
        <v>Sabah</v>
      </c>
      <c r="D50" s="6" t="str">
        <f>IF($A50="","",MPA!$D47)</f>
        <v>MPA Most Restrictive</v>
      </c>
      <c r="E50" s="6" t="str">
        <f>IF($A50="","",MPA!$E47)</f>
        <v>16 km2</v>
      </c>
      <c r="F50" s="20">
        <f t="shared" si="4"/>
        <v>1600</v>
      </c>
      <c r="G50" s="24">
        <f>IF($A50="","",IFERROR(INDEX(CTRS_Control!$C$35:$C$40,MATCH($D50,CTRS_Control!$B$35:$B$40,0)),0))</f>
        <v>1</v>
      </c>
      <c r="H50" s="20">
        <f t="shared" si="5"/>
        <v>1600</v>
      </c>
    </row>
    <row r="51" spans="1:8" x14ac:dyDescent="0.35">
      <c r="A51" s="6" t="str">
        <f>IF(MPA!$B48="","",MPA!$B48)</f>
        <v>Tun Mustapha Park</v>
      </c>
      <c r="B51" s="6" t="str">
        <f>IF($A51="","",MPA!$C48)</f>
        <v>Malaysia, Sabah</v>
      </c>
      <c r="C51" s="6" t="str">
        <f t="shared" si="3"/>
        <v>Sabah</v>
      </c>
      <c r="D51" s="6" t="str">
        <f>IF($A51="","",MPA!$D48)</f>
        <v>MPA Moderately Restrictive</v>
      </c>
      <c r="E51" s="6" t="str">
        <f>IF($A51="","",MPA!$E48)</f>
        <v>8,360 km2</v>
      </c>
      <c r="F51" s="20">
        <f t="shared" si="4"/>
        <v>836000</v>
      </c>
      <c r="G51" s="24">
        <f>IF($A51="","",IFERROR(INDEX(CTRS_Control!$C$35:$C$40,MATCH($D51,CTRS_Control!$B$35:$B$40,0)),0))</f>
        <v>0.83333333333333337</v>
      </c>
      <c r="H51" s="20">
        <f t="shared" si="5"/>
        <v>696666.66666666674</v>
      </c>
    </row>
    <row r="52" spans="1:8" x14ac:dyDescent="0.35">
      <c r="A52" s="6" t="str">
        <f>IF(MPA!$B49="","",MPA!$B49)</f>
        <v>Pulau Tukong Ara-Banun</v>
      </c>
      <c r="B52" s="6" t="str">
        <f>IF($A52="","",MPA!$C49)</f>
        <v>Malaysia, Sarawak</v>
      </c>
      <c r="C52" s="6" t="str">
        <f t="shared" si="3"/>
        <v>Sarawak</v>
      </c>
      <c r="D52" s="6" t="str">
        <f>IF($A52="","",MPA!$D49)</f>
        <v>MPA Most Restrictive</v>
      </c>
      <c r="E52" s="6" t="str">
        <f>IF($A52="","",MPA!$E49)</f>
        <v>0.10 km2</v>
      </c>
      <c r="F52" s="20">
        <f t="shared" si="4"/>
        <v>10</v>
      </c>
      <c r="G52" s="24">
        <f>IF($A52="","",IFERROR(INDEX(CTRS_Control!$C$35:$C$40,MATCH($D52,CTRS_Control!$B$35:$B$40,0)),0))</f>
        <v>1</v>
      </c>
      <c r="H52" s="20">
        <f t="shared" si="5"/>
        <v>10</v>
      </c>
    </row>
    <row r="53" spans="1:8" x14ac:dyDescent="0.35">
      <c r="A53" s="6" t="str">
        <f>IF(MPA!$B50="","",MPA!$B50)</f>
        <v>Sibuti</v>
      </c>
      <c r="B53" s="6" t="str">
        <f>IF($A53="","",MPA!$C50)</f>
        <v>Malaysia, Sarawak</v>
      </c>
      <c r="C53" s="6" t="str">
        <f t="shared" si="3"/>
        <v>Sarawak</v>
      </c>
      <c r="D53" s="6" t="str">
        <f>IF($A53="","",MPA!$D50)</f>
        <v>MPA Most Restrictive</v>
      </c>
      <c r="E53" s="6" t="str">
        <f>IF($A53="","",MPA!$E50)</f>
        <v>0.10 km2</v>
      </c>
      <c r="F53" s="20">
        <f t="shared" si="4"/>
        <v>10</v>
      </c>
      <c r="G53" s="24">
        <f>IF($A53="","",IFERROR(INDEX(CTRS_Control!$C$35:$C$40,MATCH($D53,CTRS_Control!$B$35:$B$40,0)),0))</f>
        <v>1</v>
      </c>
      <c r="H53" s="20">
        <f t="shared" si="5"/>
        <v>10</v>
      </c>
    </row>
    <row r="54" spans="1:8" x14ac:dyDescent="0.35">
      <c r="A54" s="6" t="str">
        <f>IF(MPA!$B51="","",MPA!$B51)</f>
        <v>Luconia Shoals National Park</v>
      </c>
      <c r="B54" s="6" t="str">
        <f>IF($A54="","",MPA!$C51)</f>
        <v>Malaysia, Sarawak</v>
      </c>
      <c r="C54" s="6" t="str">
        <f t="shared" si="3"/>
        <v>Sarawak</v>
      </c>
      <c r="D54" s="6" t="str">
        <f>IF($A54="","",MPA!$D51)</f>
        <v>MPA Less Restrictive</v>
      </c>
      <c r="E54" s="6" t="str">
        <f>IF($A54="","",MPA!$E51)</f>
        <v>9,957 km2</v>
      </c>
      <c r="F54" s="20">
        <f t="shared" si="4"/>
        <v>995700</v>
      </c>
      <c r="G54" s="24">
        <f>IF($A54="","",IFERROR(INDEX(CTRS_Control!$C$35:$C$40,MATCH($D54,CTRS_Control!$B$35:$B$40,0)),0))</f>
        <v>0.66666666666666663</v>
      </c>
      <c r="H54" s="20">
        <f t="shared" si="5"/>
        <v>663800</v>
      </c>
    </row>
    <row r="55" spans="1:8" x14ac:dyDescent="0.35">
      <c r="A55" s="6" t="str">
        <f>IF(MPA!$B52="","",MPA!$B52)</f>
        <v>Miri-Sibuti Coral Reefs National Park</v>
      </c>
      <c r="B55" s="6" t="str">
        <f>IF($A55="","",MPA!$C52)</f>
        <v>Malaysia, Sarawak</v>
      </c>
      <c r="C55" s="6" t="str">
        <f t="shared" si="3"/>
        <v>Sarawak</v>
      </c>
      <c r="D55" s="6" t="str">
        <f>IF($A55="","",MPA!$D52)</f>
        <v>MPA Less Restrictive</v>
      </c>
      <c r="E55" s="6" t="str">
        <f>IF($A55="","",MPA!$E52)</f>
        <v>2,653 km2</v>
      </c>
      <c r="F55" s="20">
        <f t="shared" si="4"/>
        <v>265300</v>
      </c>
      <c r="G55" s="24">
        <f>IF($A55="","",IFERROR(INDEX(CTRS_Control!$C$35:$C$40,MATCH($D55,CTRS_Control!$B$35:$B$40,0)),0))</f>
        <v>0.66666666666666663</v>
      </c>
      <c r="H55" s="20">
        <f t="shared" si="5"/>
        <v>176866.66666666666</v>
      </c>
    </row>
    <row r="56" spans="1:8" x14ac:dyDescent="0.35">
      <c r="A56" s="6" t="str">
        <f>IF(MPA!$B53="","",MPA!$B53)</f>
        <v>Miri Coral Reef</v>
      </c>
      <c r="B56" s="6" t="str">
        <f>IF($A56="","",MPA!$C53)</f>
        <v>Malaysia, Sarawak</v>
      </c>
      <c r="C56" s="6" t="str">
        <f t="shared" si="3"/>
        <v>Sarawak</v>
      </c>
      <c r="D56" s="6" t="str">
        <f>IF($A56="","",MPA!$D53)</f>
        <v>MPA Less Restrictive</v>
      </c>
      <c r="E56" s="6" t="str">
        <f>IF($A56="","",MPA!$E53)</f>
        <v>406 km2</v>
      </c>
      <c r="F56" s="20">
        <f t="shared" si="4"/>
        <v>40600</v>
      </c>
      <c r="G56" s="24">
        <f>IF($A56="","",IFERROR(INDEX(CTRS_Control!$C$35:$C$40,MATCH($D56,CTRS_Control!$B$35:$B$40,0)),0))</f>
        <v>0.66666666666666663</v>
      </c>
      <c r="H56" s="20">
        <f t="shared" si="5"/>
        <v>27066.666666666664</v>
      </c>
    </row>
    <row r="57" spans="1:8" x14ac:dyDescent="0.35">
      <c r="A57" s="6" t="str">
        <f>IF(MPA!$B54="","",MPA!$B54)</f>
        <v>Talang-Satang National Park</v>
      </c>
      <c r="B57" s="6" t="str">
        <f>IF($A57="","",MPA!$C54)</f>
        <v>Malaysia, Sarawak</v>
      </c>
      <c r="C57" s="6" t="str">
        <f t="shared" si="3"/>
        <v>Sarawak</v>
      </c>
      <c r="D57" s="6" t="str">
        <f>IF($A57="","",MPA!$D54)</f>
        <v>MPA Less Restrictive</v>
      </c>
      <c r="E57" s="6" t="str">
        <f>IF($A57="","",MPA!$E54)</f>
        <v>155 km2</v>
      </c>
      <c r="F57" s="20">
        <f t="shared" si="4"/>
        <v>15500</v>
      </c>
      <c r="G57" s="24">
        <f>IF($A57="","",IFERROR(INDEX(CTRS_Control!$C$35:$C$40,MATCH($D57,CTRS_Control!$B$35:$B$40,0)),0))</f>
        <v>0.66666666666666663</v>
      </c>
      <c r="H57" s="20">
        <f t="shared" si="5"/>
        <v>10333.333333333332</v>
      </c>
    </row>
    <row r="58" spans="1:8" x14ac:dyDescent="0.35">
      <c r="A58" s="6" t="str">
        <f>IF(MPA!$B55="","",MPA!$B55)</f>
        <v>Sibuti Coral Reef</v>
      </c>
      <c r="B58" s="6" t="str">
        <f>IF($A58="","",MPA!$C55)</f>
        <v>Malaysia, Sarawak</v>
      </c>
      <c r="C58" s="6" t="str">
        <f t="shared" si="3"/>
        <v>Sarawak</v>
      </c>
      <c r="D58" s="6" t="str">
        <f>IF($A58="","",MPA!$D55)</f>
        <v>MPA Less Restrictive</v>
      </c>
      <c r="E58" s="6" t="str">
        <f>IF($A58="","",MPA!$E55)</f>
        <v>98 km2</v>
      </c>
      <c r="F58" s="20">
        <f t="shared" si="4"/>
        <v>9800</v>
      </c>
      <c r="G58" s="24">
        <f>IF($A58="","",IFERROR(INDEX(CTRS_Control!$C$35:$C$40,MATCH($D58,CTRS_Control!$B$35:$B$40,0)),0))</f>
        <v>0.66666666666666663</v>
      </c>
      <c r="H58" s="20">
        <f t="shared" si="5"/>
        <v>6533.333333333333</v>
      </c>
    </row>
    <row r="59" spans="1:8" x14ac:dyDescent="0.35">
      <c r="A59" s="6" t="str">
        <f>IF(MPA!$B56="","",MPA!$B56)</f>
        <v>Similajau National Park</v>
      </c>
      <c r="B59" s="6" t="str">
        <f>IF($A59="","",MPA!$C56)</f>
        <v>Malaysia, Sarawak</v>
      </c>
      <c r="C59" s="6" t="str">
        <f t="shared" si="3"/>
        <v>Sarawak</v>
      </c>
      <c r="D59" s="6" t="str">
        <f>IF($A59="","",MPA!$D56)</f>
        <v>MPA Less Restrictive</v>
      </c>
      <c r="E59" s="6" t="str">
        <f>IF($A59="","",MPA!$E56)</f>
        <v>12 km2</v>
      </c>
      <c r="F59" s="20">
        <f t="shared" si="4"/>
        <v>1200</v>
      </c>
      <c r="G59" s="24">
        <f>IF($A59="","",IFERROR(INDEX(CTRS_Control!$C$35:$C$40,MATCH($D59,CTRS_Control!$B$35:$B$40,0)),0))</f>
        <v>0.66666666666666663</v>
      </c>
      <c r="H59" s="20">
        <f t="shared" si="5"/>
        <v>800</v>
      </c>
    </row>
    <row r="60" spans="1:8" x14ac:dyDescent="0.35">
      <c r="A60" s="6" t="str">
        <f>IF(MPA!$B57="","",MPA!$B57)</f>
        <v>Kuching Wetland National Park</v>
      </c>
      <c r="B60" s="6" t="str">
        <f>IF($A60="","",MPA!$C57)</f>
        <v>Malaysia, Sarawak</v>
      </c>
      <c r="C60" s="6" t="str">
        <f t="shared" si="3"/>
        <v>Sarawak</v>
      </c>
      <c r="D60" s="6" t="str">
        <f>IF($A60="","",MPA!$D57)</f>
        <v>MPA Less Restrictive</v>
      </c>
      <c r="E60" s="6" t="str">
        <f>IF($A60="","",MPA!$E57)</f>
        <v>10 km2</v>
      </c>
      <c r="F60" s="20">
        <f t="shared" si="4"/>
        <v>1000</v>
      </c>
      <c r="G60" s="24">
        <f>IF($A60="","",IFERROR(INDEX(CTRS_Control!$C$35:$C$40,MATCH($D60,CTRS_Control!$B$35:$B$40,0)),0))</f>
        <v>0.66666666666666663</v>
      </c>
      <c r="H60" s="20">
        <f t="shared" si="5"/>
        <v>666.66666666666663</v>
      </c>
    </row>
    <row r="61" spans="1:8" x14ac:dyDescent="0.35">
      <c r="A61" s="6" t="str">
        <f>IF(MPA!$B58="","",MPA!$B58)</f>
        <v>Rajang Mangrove National Park</v>
      </c>
      <c r="B61" s="6" t="str">
        <f>IF($A61="","",MPA!$C58)</f>
        <v>Malaysia, Sarawak</v>
      </c>
      <c r="C61" s="6" t="str">
        <f t="shared" si="3"/>
        <v>Sarawak</v>
      </c>
      <c r="D61" s="6" t="str">
        <f>IF($A61="","",MPA!$D58)</f>
        <v>MPA Less Restrictive</v>
      </c>
      <c r="E61" s="6" t="str">
        <f>IF($A61="","",MPA!$E58)</f>
        <v>9 km2</v>
      </c>
      <c r="F61" s="20">
        <f t="shared" si="4"/>
        <v>900</v>
      </c>
      <c r="G61" s="24">
        <f>IF($A61="","",IFERROR(INDEX(CTRS_Control!$C$35:$C$40,MATCH($D61,CTRS_Control!$B$35:$B$40,0)),0))</f>
        <v>0.66666666666666663</v>
      </c>
      <c r="H61" s="20">
        <f t="shared" si="5"/>
        <v>600</v>
      </c>
    </row>
    <row r="62" spans="1:8" x14ac:dyDescent="0.35">
      <c r="A62" s="6" t="str">
        <f>IF(MPA!$B59="","",MPA!$B59)</f>
        <v>Limbang Mangrove National Park</v>
      </c>
      <c r="B62" s="6" t="str">
        <f>IF($A62="","",MPA!$C59)</f>
        <v>Malaysia, Sarawak</v>
      </c>
      <c r="C62" s="6" t="str">
        <f t="shared" si="3"/>
        <v>Sarawak</v>
      </c>
      <c r="D62" s="6" t="str">
        <f>IF($A62="","",MPA!$D59)</f>
        <v>MPA Less Restrictive</v>
      </c>
      <c r="E62" s="6" t="str">
        <f>IF($A62="","",MPA!$E59)</f>
        <v>7 km2</v>
      </c>
      <c r="F62" s="20">
        <f t="shared" si="4"/>
        <v>700</v>
      </c>
      <c r="G62" s="24">
        <f>IF($A62="","",IFERROR(INDEX(CTRS_Control!$C$35:$C$40,MATCH($D62,CTRS_Control!$B$35:$B$40,0)),0))</f>
        <v>0.66666666666666663</v>
      </c>
      <c r="H62" s="20">
        <f t="shared" si="5"/>
        <v>466.66666666666663</v>
      </c>
    </row>
    <row r="63" spans="1:8" x14ac:dyDescent="0.35">
      <c r="A63" s="6" t="str">
        <f>IF(MPA!$B60="","",MPA!$B60)</f>
        <v>Pulau Tun Ahmad Zaidi</v>
      </c>
      <c r="B63" s="6" t="str">
        <f>IF($A63="","",MPA!$C60)</f>
        <v>Malaysia, Sarawak</v>
      </c>
      <c r="C63" s="6" t="str">
        <f t="shared" si="3"/>
        <v>Sarawak</v>
      </c>
      <c r="D63" s="6" t="str">
        <f>IF($A63="","",MPA!$D60)</f>
        <v>MPA Less Restrictive</v>
      </c>
      <c r="E63" s="6" t="str">
        <f>IF($A63="","",MPA!$E60)</f>
        <v>4 km2</v>
      </c>
      <c r="F63" s="20">
        <f t="shared" si="4"/>
        <v>400</v>
      </c>
      <c r="G63" s="24">
        <f>IF($A63="","",IFERROR(INDEX(CTRS_Control!$C$35:$C$40,MATCH($D63,CTRS_Control!$B$35:$B$40,0)),0))</f>
        <v>0.66666666666666663</v>
      </c>
      <c r="H63" s="20">
        <f t="shared" si="5"/>
        <v>266.66666666666663</v>
      </c>
    </row>
    <row r="64" spans="1:8" x14ac:dyDescent="0.35">
      <c r="A64" s="6" t="str">
        <f>IF(MPA!$B61="","",MPA!$B61)</f>
        <v>Bako National Park</v>
      </c>
      <c r="B64" s="6" t="str">
        <f>IF($A64="","",MPA!$C61)</f>
        <v>Malaysia, Sarawak</v>
      </c>
      <c r="C64" s="6" t="str">
        <f t="shared" si="3"/>
        <v>Sarawak</v>
      </c>
      <c r="D64" s="6" t="str">
        <f>IF($A64="","",MPA!$D61)</f>
        <v>MPA Less Restrictive</v>
      </c>
      <c r="E64" s="6" t="str">
        <f>IF($A64="","",MPA!$E61)</f>
        <v>3 km2</v>
      </c>
      <c r="F64" s="20">
        <f t="shared" si="4"/>
        <v>300</v>
      </c>
      <c r="G64" s="24">
        <f>IF($A64="","",IFERROR(INDEX(CTRS_Control!$C$35:$C$40,MATCH($D64,CTRS_Control!$B$35:$B$40,0)),0))</f>
        <v>0.66666666666666663</v>
      </c>
      <c r="H64" s="20">
        <f t="shared" si="5"/>
        <v>200</v>
      </c>
    </row>
    <row r="65" spans="1:8" x14ac:dyDescent="0.35">
      <c r="A65" s="6" t="str">
        <f>IF(MPA!$B62="","",MPA!$B62)</f>
        <v>Santubong National Park</v>
      </c>
      <c r="B65" s="6" t="str">
        <f>IF($A65="","",MPA!$C62)</f>
        <v>Malaysia, Sarawak</v>
      </c>
      <c r="C65" s="6" t="str">
        <f t="shared" si="3"/>
        <v>Sarawak</v>
      </c>
      <c r="D65" s="6" t="str">
        <f>IF($A65="","",MPA!$D62)</f>
        <v>MPA Less Restrictive</v>
      </c>
      <c r="E65" s="6" t="str">
        <f>IF($A65="","",MPA!$E62)</f>
        <v>2 km2</v>
      </c>
      <c r="F65" s="20">
        <f t="shared" si="4"/>
        <v>200</v>
      </c>
      <c r="G65" s="24">
        <f>IF($A65="","",IFERROR(INDEX(CTRS_Control!$C$35:$C$40,MATCH($D65,CTRS_Control!$B$35:$B$40,0)),0))</f>
        <v>0.66666666666666663</v>
      </c>
      <c r="H65" s="20">
        <f t="shared" si="5"/>
        <v>133.33333333333331</v>
      </c>
    </row>
    <row r="66" spans="1:8" x14ac:dyDescent="0.35">
      <c r="A66" s="6" t="str">
        <f>IF(MPA!$B63="","",MPA!$B63)</f>
        <v>Tanjung Datu National Park</v>
      </c>
      <c r="B66" s="6" t="str">
        <f>IF($A66="","",MPA!$C63)</f>
        <v>Malaysia, Sarawak</v>
      </c>
      <c r="C66" s="6" t="str">
        <f t="shared" si="3"/>
        <v>Sarawak</v>
      </c>
      <c r="D66" s="6" t="str">
        <f>IF($A66="","",MPA!$D63)</f>
        <v>MPA Less Restrictive</v>
      </c>
      <c r="E66" s="6" t="str">
        <f>IF($A66="","",MPA!$E63)</f>
        <v>0.36 km2</v>
      </c>
      <c r="F66" s="20">
        <f t="shared" si="4"/>
        <v>36</v>
      </c>
      <c r="G66" s="24">
        <f>IF($A66="","",IFERROR(INDEX(CTRS_Control!$C$35:$C$40,MATCH($D66,CTRS_Control!$B$35:$B$40,0)),0))</f>
        <v>0.66666666666666663</v>
      </c>
      <c r="H66" s="20">
        <f t="shared" si="5"/>
        <v>24</v>
      </c>
    </row>
    <row r="67" spans="1:8" x14ac:dyDescent="0.35">
      <c r="A67" s="6" t="str">
        <f>IF(MPA!$B64="","",MPA!$B64)</f>
        <v>Pulau Redang Marine Park</v>
      </c>
      <c r="B67" s="6" t="str">
        <f>IF($A67="","",MPA!$C64)</f>
        <v>Malaysia, Terengganu</v>
      </c>
      <c r="C67" s="6" t="str">
        <f t="shared" si="3"/>
        <v>Terengganu</v>
      </c>
      <c r="D67" s="6" t="str">
        <f>IF($A67="","",MPA!$D64)</f>
        <v>MPA Most Restrictive</v>
      </c>
      <c r="E67" s="6" t="str">
        <f>IF($A67="","",MPA!$E64)</f>
        <v>158 km2</v>
      </c>
      <c r="F67" s="20">
        <f t="shared" si="4"/>
        <v>15800</v>
      </c>
      <c r="G67" s="24">
        <f>IF($A67="","",IFERROR(INDEX(CTRS_Control!$C$35:$C$40,MATCH($D67,CTRS_Control!$B$35:$B$40,0)),0))</f>
        <v>1</v>
      </c>
      <c r="H67" s="20">
        <f t="shared" si="5"/>
        <v>15800</v>
      </c>
    </row>
    <row r="68" spans="1:8" x14ac:dyDescent="0.35">
      <c r="A68" s="6" t="str">
        <f>IF(MPA!$B65="","",MPA!$B65)</f>
        <v>Pulau Perhentian Besar Marine Park</v>
      </c>
      <c r="B68" s="6" t="str">
        <f>IF($A68="","",MPA!$C65)</f>
        <v>Malaysia, Terengganu</v>
      </c>
      <c r="C68" s="6" t="str">
        <f t="shared" si="3"/>
        <v>Terengganu</v>
      </c>
      <c r="D68" s="6" t="str">
        <f>IF($A68="","",MPA!$D65)</f>
        <v>MPA Most Restrictive</v>
      </c>
      <c r="E68" s="6" t="str">
        <f>IF($A68="","",MPA!$E65)</f>
        <v>89 km2</v>
      </c>
      <c r="F68" s="20">
        <f t="shared" si="4"/>
        <v>8900</v>
      </c>
      <c r="G68" s="24">
        <f>IF($A68="","",IFERROR(INDEX(CTRS_Control!$C$35:$C$40,MATCH($D68,CTRS_Control!$B$35:$B$40,0)),0))</f>
        <v>1</v>
      </c>
      <c r="H68" s="20">
        <f t="shared" si="5"/>
        <v>8900</v>
      </c>
    </row>
    <row r="69" spans="1:8" x14ac:dyDescent="0.35">
      <c r="A69" s="6" t="str">
        <f>IF(MPA!$B66="","",MPA!$B66)</f>
        <v>Pulau Perhentian Kecil Marine Park</v>
      </c>
      <c r="B69" s="6" t="str">
        <f>IF($A69="","",MPA!$C66)</f>
        <v>Malaysia, Terengganu</v>
      </c>
      <c r="C69" s="6" t="str">
        <f t="shared" si="3"/>
        <v>Terengganu</v>
      </c>
      <c r="D69" s="6" t="str">
        <f>IF($A69="","",MPA!$D66)</f>
        <v>MPA Most Restrictive</v>
      </c>
      <c r="E69" s="6" t="str">
        <f>IF($A69="","",MPA!$E66)</f>
        <v>80 km2</v>
      </c>
      <c r="F69" s="20">
        <f t="shared" si="4"/>
        <v>8000</v>
      </c>
      <c r="G69" s="24">
        <f>IF($A69="","",IFERROR(INDEX(CTRS_Control!$C$35:$C$40,MATCH($D69,CTRS_Control!$B$35:$B$40,0)),0))</f>
        <v>1</v>
      </c>
      <c r="H69" s="20">
        <f t="shared" si="5"/>
        <v>8000</v>
      </c>
    </row>
    <row r="70" spans="1:8" x14ac:dyDescent="0.35">
      <c r="A70" s="6" t="str">
        <f>IF(MPA!$B67="","",MPA!$B67)</f>
        <v>Pulau Tenggol Marine Park</v>
      </c>
      <c r="B70" s="6" t="str">
        <f>IF($A70="","",MPA!$C67)</f>
        <v>Malaysia, Terengganu</v>
      </c>
      <c r="C70" s="6" t="str">
        <f t="shared" ref="C70:C101" si="6">IF($A70="","",IFERROR(INDEX($K$6:$K$25,MATCH($B70,$J$6:$J$25,0)),"?"))</f>
        <v>Terengganu</v>
      </c>
      <c r="D70" s="6" t="str">
        <f>IF($A70="","",MPA!$D67)</f>
        <v>MPA Most Restrictive</v>
      </c>
      <c r="E70" s="6" t="str">
        <f>IF($A70="","",MPA!$E67)</f>
        <v>69 km2</v>
      </c>
      <c r="F70" s="20">
        <f t="shared" ref="F70:F101" si="7">IF($A70="","",IFERROR(VALUE(SUBSTITUTE(SUBSTITUTE(SUBSTITUTE($E70,"&lt;",""),",","")," km2",""))*100,0))</f>
        <v>6900</v>
      </c>
      <c r="G70" s="24">
        <f>IF($A70="","",IFERROR(INDEX(CTRS_Control!$C$35:$C$40,MATCH($D70,CTRS_Control!$B$35:$B$40,0)),0))</f>
        <v>1</v>
      </c>
      <c r="H70" s="20">
        <f t="shared" ref="H70:H101" si="8">IF($A70="","",$F70*$G70)</f>
        <v>6900</v>
      </c>
    </row>
    <row r="71" spans="1:8" x14ac:dyDescent="0.35">
      <c r="A71" s="6" t="str">
        <f>IF(MPA!$B68="","",MPA!$B68)</f>
        <v>Rantau Abang Turtle Sanctuary</v>
      </c>
      <c r="B71" s="6" t="str">
        <f>IF($A71="","",MPA!$C68)</f>
        <v>Malaysia, Terengganu</v>
      </c>
      <c r="C71" s="6" t="str">
        <f t="shared" si="6"/>
        <v>Terengganu</v>
      </c>
      <c r="D71" s="6" t="str">
        <f>IF($A71="","",MPA!$D68)</f>
        <v>MPA Most Restrictive</v>
      </c>
      <c r="E71" s="6" t="str">
        <f>IF($A71="","",MPA!$E68)</f>
        <v>66 km2</v>
      </c>
      <c r="F71" s="20">
        <f t="shared" si="7"/>
        <v>6600</v>
      </c>
      <c r="G71" s="24">
        <f>IF($A71="","",IFERROR(INDEX(CTRS_Control!$C$35:$C$40,MATCH($D71,CTRS_Control!$B$35:$B$40,0)),0))</f>
        <v>1</v>
      </c>
      <c r="H71" s="20">
        <f t="shared" si="8"/>
        <v>6600</v>
      </c>
    </row>
    <row r="72" spans="1:8" x14ac:dyDescent="0.35">
      <c r="A72" s="6" t="str">
        <f>IF(MPA!$B69="","",MPA!$B69)</f>
        <v>Pulau Lang Tengah Marine Park</v>
      </c>
      <c r="B72" s="6" t="str">
        <f>IF($A72="","",MPA!$C69)</f>
        <v>Malaysia, Terengganu</v>
      </c>
      <c r="C72" s="6" t="str">
        <f t="shared" si="6"/>
        <v>Terengganu</v>
      </c>
      <c r="D72" s="6" t="str">
        <f>IF($A72="","",MPA!$D69)</f>
        <v>MPA Most Restrictive</v>
      </c>
      <c r="E72" s="6" t="str">
        <f>IF($A72="","",MPA!$E69)</f>
        <v>61 km2</v>
      </c>
      <c r="F72" s="20">
        <f t="shared" si="7"/>
        <v>6100</v>
      </c>
      <c r="G72" s="24">
        <f>IF($A72="","",IFERROR(INDEX(CTRS_Control!$C$35:$C$40,MATCH($D72,CTRS_Control!$B$35:$B$40,0)),0))</f>
        <v>1</v>
      </c>
      <c r="H72" s="20">
        <f t="shared" si="8"/>
        <v>6100</v>
      </c>
    </row>
    <row r="73" spans="1:8" x14ac:dyDescent="0.35">
      <c r="A73" s="6" t="str">
        <f>IF(MPA!$B70="","",MPA!$B70)</f>
        <v>Pulau Nyireh Marine Park</v>
      </c>
      <c r="B73" s="6" t="str">
        <f>IF($A73="","",MPA!$C70)</f>
        <v>Malaysia, Terengganu</v>
      </c>
      <c r="C73" s="6" t="str">
        <f t="shared" si="6"/>
        <v>Terengganu</v>
      </c>
      <c r="D73" s="6" t="str">
        <f>IF($A73="","",MPA!$D70)</f>
        <v>MPA Most Restrictive</v>
      </c>
      <c r="E73" s="6" t="str">
        <f>IF($A73="","",MPA!$E70)</f>
        <v>50 km2</v>
      </c>
      <c r="F73" s="20">
        <f t="shared" si="7"/>
        <v>5000</v>
      </c>
      <c r="G73" s="24">
        <f>IF($A73="","",IFERROR(INDEX(CTRS_Control!$C$35:$C$40,MATCH($D73,CTRS_Control!$B$35:$B$40,0)),0))</f>
        <v>1</v>
      </c>
      <c r="H73" s="20">
        <f t="shared" si="8"/>
        <v>5000</v>
      </c>
    </row>
    <row r="74" spans="1:8" x14ac:dyDescent="0.35">
      <c r="A74" s="6" t="str">
        <f>IF(MPA!$B71="","",MPA!$B71)</f>
        <v>Pulau Susu Dara Marine Park</v>
      </c>
      <c r="B74" s="6" t="str">
        <f>IF($A74="","",MPA!$C71)</f>
        <v>Malaysia, Terengganu</v>
      </c>
      <c r="C74" s="6" t="str">
        <f t="shared" si="6"/>
        <v>Terengganu</v>
      </c>
      <c r="D74" s="6" t="str">
        <f>IF($A74="","",MPA!$D71)</f>
        <v>MPA Most Restrictive</v>
      </c>
      <c r="E74" s="6" t="str">
        <f>IF($A74="","",MPA!$E71)</f>
        <v>49 km2</v>
      </c>
      <c r="F74" s="20">
        <f t="shared" si="7"/>
        <v>4900</v>
      </c>
      <c r="G74" s="24">
        <f>IF($A74="","",IFERROR(INDEX(CTRS_Control!$C$35:$C$40,MATCH($D74,CTRS_Control!$B$35:$B$40,0)),0))</f>
        <v>1</v>
      </c>
      <c r="H74" s="20">
        <f t="shared" si="8"/>
        <v>4900</v>
      </c>
    </row>
    <row r="75" spans="1:8" x14ac:dyDescent="0.35">
      <c r="A75" s="6" t="str">
        <f>IF(MPA!$B72="","",MPA!$B72)</f>
        <v>Pulau Yu Besar Marine Park</v>
      </c>
      <c r="B75" s="6" t="str">
        <f>IF($A75="","",MPA!$C72)</f>
        <v>Malaysia, Terengganu</v>
      </c>
      <c r="C75" s="6" t="str">
        <f t="shared" si="6"/>
        <v>Terengganu</v>
      </c>
      <c r="D75" s="6" t="str">
        <f>IF($A75="","",MPA!$D72)</f>
        <v>MPA Most Restrictive</v>
      </c>
      <c r="E75" s="6" t="str">
        <f>IF($A75="","",MPA!$E72)</f>
        <v>48 km2</v>
      </c>
      <c r="F75" s="20">
        <f t="shared" si="7"/>
        <v>4800</v>
      </c>
      <c r="G75" s="24">
        <f>IF($A75="","",IFERROR(INDEX(CTRS_Control!$C$35:$C$40,MATCH($D75,CTRS_Control!$B$35:$B$40,0)),0))</f>
        <v>1</v>
      </c>
      <c r="H75" s="20">
        <f t="shared" si="8"/>
        <v>4800</v>
      </c>
    </row>
    <row r="76" spans="1:8" x14ac:dyDescent="0.35">
      <c r="A76" s="6" t="str">
        <f>IF(MPA!$B73="","",MPA!$B73)</f>
        <v>Pulau Yu Kecil Marine Park</v>
      </c>
      <c r="B76" s="6" t="str">
        <f>IF($A76="","",MPA!$C73)</f>
        <v>Malaysia, Terengganu</v>
      </c>
      <c r="C76" s="6" t="str">
        <f t="shared" si="6"/>
        <v>Terengganu</v>
      </c>
      <c r="D76" s="6" t="str">
        <f>IF($A76="","",MPA!$D73)</f>
        <v>MPA Most Restrictive</v>
      </c>
      <c r="E76" s="6" t="str">
        <f>IF($A76="","",MPA!$E73)</f>
        <v>47 km2</v>
      </c>
      <c r="F76" s="20">
        <f t="shared" si="7"/>
        <v>4700</v>
      </c>
      <c r="G76" s="24">
        <f>IF($A76="","",IFERROR(INDEX(CTRS_Control!$C$35:$C$40,MATCH($D76,CTRS_Control!$B$35:$B$40,0)),0))</f>
        <v>1</v>
      </c>
      <c r="H76" s="20">
        <f t="shared" si="8"/>
        <v>4700</v>
      </c>
    </row>
    <row r="77" spans="1:8" x14ac:dyDescent="0.35">
      <c r="A77" s="6" t="str">
        <f>IF(MPA!$B74="","",MPA!$B74)</f>
        <v>Pulau Kapas Marine Park</v>
      </c>
      <c r="B77" s="6" t="str">
        <f>IF($A77="","",MPA!$C74)</f>
        <v>Malaysia, Terengganu</v>
      </c>
      <c r="C77" s="6" t="str">
        <f t="shared" si="6"/>
        <v>Terengganu</v>
      </c>
      <c r="D77" s="6" t="str">
        <f>IF($A77="","",MPA!$D74)</f>
        <v>MPA Most Restrictive</v>
      </c>
      <c r="E77" s="6" t="str">
        <f>IF($A77="","",MPA!$E74)</f>
        <v>24 km2</v>
      </c>
      <c r="F77" s="20">
        <f t="shared" si="7"/>
        <v>2400</v>
      </c>
      <c r="G77" s="24">
        <f>IF($A77="","",IFERROR(INDEX(CTRS_Control!$C$35:$C$40,MATCH($D77,CTRS_Control!$B$35:$B$40,0)),0))</f>
        <v>1</v>
      </c>
      <c r="H77" s="20">
        <f t="shared" si="8"/>
        <v>2400</v>
      </c>
    </row>
    <row r="78" spans="1:8" x14ac:dyDescent="0.35">
      <c r="A78" s="6" t="str">
        <f>IF(MPA!$B75="","",MPA!$B75)</f>
        <v>Tanjung Tukah Turtle Sanctuary</v>
      </c>
      <c r="B78" s="6" t="str">
        <f>IF($A78="","",MPA!$C75)</f>
        <v>Malaysia, Terengganu</v>
      </c>
      <c r="C78" s="6" t="str">
        <f t="shared" si="6"/>
        <v>Terengganu</v>
      </c>
      <c r="D78" s="6" t="str">
        <f>IF($A78="","",MPA!$D75)</f>
        <v>MPA Most Restrictive</v>
      </c>
      <c r="E78" s="6" t="str">
        <f>IF($A78="","",MPA!$E75)</f>
        <v>0.06 km2</v>
      </c>
      <c r="F78" s="20">
        <f t="shared" si="7"/>
        <v>6</v>
      </c>
      <c r="G78" s="24">
        <f>IF($A78="","",IFERROR(INDEX(CTRS_Control!$C$35:$C$40,MATCH($D78,CTRS_Control!$B$35:$B$40,0)),0))</f>
        <v>1</v>
      </c>
      <c r="H78" s="20">
        <f t="shared" si="8"/>
        <v>6</v>
      </c>
    </row>
    <row r="79" spans="1:8" x14ac:dyDescent="0.35">
      <c r="A79" s="6" t="str">
        <f>IF(MPA!$B76="","",MPA!$B76)</f>
        <v>Tanjung Guntung Turtle Sanctuary</v>
      </c>
      <c r="B79" s="6" t="str">
        <f>IF($A79="","",MPA!$C76)</f>
        <v>Malaysia, Terengganu</v>
      </c>
      <c r="C79" s="6" t="str">
        <f t="shared" si="6"/>
        <v>Terengganu</v>
      </c>
      <c r="D79" s="6" t="str">
        <f>IF($A79="","",MPA!$D76)</f>
        <v>MPA Most Restrictive</v>
      </c>
      <c r="E79" s="6" t="str">
        <f>IF($A79="","",MPA!$E76)</f>
        <v>0.01 km2</v>
      </c>
      <c r="F79" s="20">
        <f t="shared" si="7"/>
        <v>1</v>
      </c>
      <c r="G79" s="24">
        <f>IF($A79="","",IFERROR(INDEX(CTRS_Control!$C$35:$C$40,MATCH($D79,CTRS_Control!$B$35:$B$40,0)),0))</f>
        <v>1</v>
      </c>
      <c r="H79" s="20">
        <f t="shared" si="8"/>
        <v>1</v>
      </c>
    </row>
    <row r="80" spans="1:8" x14ac:dyDescent="0.35">
      <c r="A80" s="6" t="str">
        <f>IF(MPA!$B77="","",MPA!$B77)</f>
        <v>Tiga Ruang Turtle Sanctuary</v>
      </c>
      <c r="B80" s="6" t="str">
        <f>IF($A80="","",MPA!$C77)</f>
        <v>Malaysia, Terengganu</v>
      </c>
      <c r="C80" s="6" t="str">
        <f t="shared" si="6"/>
        <v>Terengganu</v>
      </c>
      <c r="D80" s="6" t="str">
        <f>IF($A80="","",MPA!$D77)</f>
        <v>MPA Most Restrictive</v>
      </c>
      <c r="E80" s="6" t="str">
        <f>IF($A80="","",MPA!$E77)</f>
        <v>0.01 km2</v>
      </c>
      <c r="F80" s="20">
        <f t="shared" si="7"/>
        <v>1</v>
      </c>
      <c r="G80" s="24">
        <f>IF($A80="","",IFERROR(INDEX(CTRS_Control!$C$35:$C$40,MATCH($D80,CTRS_Control!$B$35:$B$40,0)),0))</f>
        <v>1</v>
      </c>
      <c r="H80" s="20">
        <f t="shared" si="8"/>
        <v>1</v>
      </c>
    </row>
    <row r="81" spans="1:8" x14ac:dyDescent="0.35">
      <c r="A81" s="6" t="str">
        <f>IF(MPA!$B78="","",MPA!$B78)</f>
        <v>Pasir Chagar Hutang Turtle Sanctuary</v>
      </c>
      <c r="B81" s="6" t="str">
        <f>IF($A81="","",MPA!$C78)</f>
        <v>Malaysia, Terengganu</v>
      </c>
      <c r="C81" s="6" t="str">
        <f t="shared" si="6"/>
        <v>Terengganu</v>
      </c>
      <c r="D81" s="6" t="str">
        <f>IF($A81="","",MPA!$D78)</f>
        <v>MPA Most Restrictive</v>
      </c>
      <c r="E81" s="6" t="str">
        <f>IF($A81="","",MPA!$E78)</f>
        <v>&lt;0.01 km2</v>
      </c>
      <c r="F81" s="20">
        <f t="shared" si="7"/>
        <v>1</v>
      </c>
      <c r="G81" s="24">
        <f>IF($A81="","",IFERROR(INDEX(CTRS_Control!$C$35:$C$40,MATCH($D81,CTRS_Control!$B$35:$B$40,0)),0))</f>
        <v>1</v>
      </c>
      <c r="H81" s="20">
        <f t="shared" si="8"/>
        <v>1</v>
      </c>
    </row>
    <row r="82" spans="1:8" x14ac:dyDescent="0.35">
      <c r="A82" s="6" t="str">
        <f>IF(MPA!$B79="","",MPA!$B79)</f>
        <v>Pasir Mak Kepit, Pasir Bujang &amp; Pasir Mak Simpan Turtle Sanctuary</v>
      </c>
      <c r="B82" s="6" t="str">
        <f>IF($A82="","",MPA!$C79)</f>
        <v>Malaysia, Terengganu</v>
      </c>
      <c r="C82" s="6" t="str">
        <f t="shared" si="6"/>
        <v>Terengganu</v>
      </c>
      <c r="D82" s="6" t="str">
        <f>IF($A82="","",MPA!$D79)</f>
        <v>MPA Most Restrictive</v>
      </c>
      <c r="E82" s="6" t="str">
        <f>IF($A82="","",MPA!$E79)</f>
        <v>&lt;0.01 km2</v>
      </c>
      <c r="F82" s="20">
        <f t="shared" si="7"/>
        <v>1</v>
      </c>
      <c r="G82" s="24">
        <f>IF($A82="","",IFERROR(INDEX(CTRS_Control!$C$35:$C$40,MATCH($D82,CTRS_Control!$B$35:$B$40,0)),0))</f>
        <v>1</v>
      </c>
      <c r="H82" s="20">
        <f t="shared" si="8"/>
        <v>1</v>
      </c>
    </row>
    <row r="83" spans="1:8" x14ac:dyDescent="0.35">
      <c r="A83" s="6" t="str">
        <f>IF(MPA!$B80="","",MPA!$B80)</f>
        <v>Pinang Seribu Turtle Sanctuary</v>
      </c>
      <c r="B83" s="6" t="str">
        <f>IF($A83="","",MPA!$C80)</f>
        <v>Malaysia, Terengganu</v>
      </c>
      <c r="C83" s="6" t="str">
        <f t="shared" si="6"/>
        <v>Terengganu</v>
      </c>
      <c r="D83" s="6" t="str">
        <f>IF($A83="","",MPA!$D80)</f>
        <v>MPA Most Restrictive</v>
      </c>
      <c r="E83" s="6" t="str">
        <f>IF($A83="","",MPA!$E80)</f>
        <v>&lt;0.01 km2</v>
      </c>
      <c r="F83" s="20">
        <f t="shared" si="7"/>
        <v>1</v>
      </c>
      <c r="G83" s="24">
        <f>IF($A83="","",IFERROR(INDEX(CTRS_Control!$C$35:$C$40,MATCH($D83,CTRS_Control!$B$35:$B$40,0)),0))</f>
        <v>1</v>
      </c>
      <c r="H83" s="20">
        <f t="shared" si="8"/>
        <v>1</v>
      </c>
    </row>
    <row r="84" spans="1:8" x14ac:dyDescent="0.35">
      <c r="A84" s="6" t="str">
        <f>IF(MPA!$B81="","",MPA!$B81)</f>
        <v>Bukit Bauk</v>
      </c>
      <c r="B84" s="6" t="str">
        <f>IF($A84="","",MPA!$C81)</f>
        <v>Malaysia, Terengganu</v>
      </c>
      <c r="C84" s="6" t="str">
        <f t="shared" si="6"/>
        <v>Terengganu</v>
      </c>
      <c r="D84" s="6" t="str">
        <f>IF($A84="","",MPA!$D81)</f>
        <v>MPA Least Restrictive</v>
      </c>
      <c r="E84" s="6" t="str">
        <f>IF($A84="","",MPA!$E81)</f>
        <v>0.06 km2</v>
      </c>
      <c r="F84" s="20">
        <f t="shared" si="7"/>
        <v>6</v>
      </c>
      <c r="G84" s="24">
        <f>IF($A84="","",IFERROR(INDEX(CTRS_Control!$C$35:$C$40,MATCH($D84,CTRS_Control!$B$35:$B$40,0)),0))</f>
        <v>0.5</v>
      </c>
      <c r="H84" s="20">
        <f t="shared" si="8"/>
        <v>3</v>
      </c>
    </row>
    <row r="85" spans="1:8" x14ac:dyDescent="0.35">
      <c r="A85" s="6" t="str">
        <f>IF(MPA!$B82="","",MPA!$B82)</f>
        <v>Pulau Kuraman Marine Park</v>
      </c>
      <c r="B85" s="6" t="str">
        <f>IF($A85="","",MPA!$C82)</f>
        <v>Malaysia, The Federal Territory of Labuan</v>
      </c>
      <c r="C85" s="6" t="str">
        <f t="shared" si="6"/>
        <v>W.P. Labuan</v>
      </c>
      <c r="D85" s="6" t="str">
        <f>IF($A85="","",MPA!$D82)</f>
        <v>MPA Most Restrictive</v>
      </c>
      <c r="E85" s="6" t="str">
        <f>IF($A85="","",MPA!$E82)</f>
        <v>21 km2</v>
      </c>
      <c r="F85" s="20">
        <f t="shared" si="7"/>
        <v>2100</v>
      </c>
      <c r="G85" s="24">
        <f>IF($A85="","",IFERROR(INDEX(CTRS_Control!$C$35:$C$40,MATCH($D85,CTRS_Control!$B$35:$B$40,0)),0))</f>
        <v>1</v>
      </c>
      <c r="H85" s="20">
        <f t="shared" si="8"/>
        <v>2100</v>
      </c>
    </row>
    <row r="86" spans="1:8" x14ac:dyDescent="0.35">
      <c r="A86" s="6" t="str">
        <f>IF(MPA!$B83="","",MPA!$B83)</f>
        <v>Pulau Rusukan Besar Marine Park</v>
      </c>
      <c r="B86" s="6" t="str">
        <f>IF($A86="","",MPA!$C83)</f>
        <v>Malaysia, The Federal Territory of Labuan</v>
      </c>
      <c r="C86" s="6" t="str">
        <f t="shared" si="6"/>
        <v>W.P. Labuan</v>
      </c>
      <c r="D86" s="6" t="str">
        <f>IF($A86="","",MPA!$D83)</f>
        <v>MPA Most Restrictive</v>
      </c>
      <c r="E86" s="6" t="str">
        <f>IF($A86="","",MPA!$E83)</f>
        <v>12 km2</v>
      </c>
      <c r="F86" s="20">
        <f t="shared" si="7"/>
        <v>1200</v>
      </c>
      <c r="G86" s="24">
        <f>IF($A86="","",IFERROR(INDEX(CTRS_Control!$C$35:$C$40,MATCH($D86,CTRS_Control!$B$35:$B$40,0)),0))</f>
        <v>1</v>
      </c>
      <c r="H86" s="20">
        <f t="shared" si="8"/>
        <v>1200</v>
      </c>
    </row>
    <row r="87" spans="1:8" x14ac:dyDescent="0.35">
      <c r="A87" s="6" t="str">
        <f>IF(MPA!$B84="","",MPA!$B84)</f>
        <v>Pulau Rusukan Kecil Marine Park</v>
      </c>
      <c r="B87" s="6" t="str">
        <f>IF($A87="","",MPA!$C84)</f>
        <v>Malaysia, The Federal Territory of Labuan</v>
      </c>
      <c r="C87" s="6" t="str">
        <f t="shared" si="6"/>
        <v>W.P. Labuan</v>
      </c>
      <c r="D87" s="6" t="str">
        <f>IF($A87="","",MPA!$D84)</f>
        <v>MPA Most Restrictive</v>
      </c>
      <c r="E87" s="6" t="str">
        <f>IF($A87="","",MPA!$E84)</f>
        <v>12 km2</v>
      </c>
      <c r="F87" s="20">
        <f t="shared" si="7"/>
        <v>1200</v>
      </c>
      <c r="G87" s="24">
        <f>IF($A87="","",IFERROR(INDEX(CTRS_Control!$C$35:$C$40,MATCH($D87,CTRS_Control!$B$35:$B$40,0)),0))</f>
        <v>1</v>
      </c>
      <c r="H87" s="20">
        <f t="shared" si="8"/>
        <v>1200</v>
      </c>
    </row>
    <row r="88" spans="1:8" x14ac:dyDescent="0.35">
      <c r="A88" s="6" t="str">
        <f>IF(MPA!$B85="","",MPA!$B85)</f>
        <v/>
      </c>
      <c r="B88" s="6" t="str">
        <f>IF($A88="","",MPA!$C85)</f>
        <v/>
      </c>
      <c r="C88" s="6" t="str">
        <f t="shared" si="6"/>
        <v/>
      </c>
      <c r="D88" s="6" t="str">
        <f>IF($A88="","",MPA!$D85)</f>
        <v/>
      </c>
      <c r="E88" s="6" t="str">
        <f>IF($A88="","",MPA!$E85)</f>
        <v/>
      </c>
      <c r="F88" s="20" t="str">
        <f t="shared" si="7"/>
        <v/>
      </c>
      <c r="G88" s="24" t="str">
        <f>IF($A88="","",IFERROR(INDEX(CTRS_Control!$C$35:$C$40,MATCH($D88,CTRS_Control!$B$35:$B$40,0)),0))</f>
        <v/>
      </c>
      <c r="H88" s="20" t="str">
        <f t="shared" si="8"/>
        <v/>
      </c>
    </row>
    <row r="89" spans="1:8" x14ac:dyDescent="0.35">
      <c r="A89" s="6" t="str">
        <f>IF(MPA!$B86="","",MPA!$B86)</f>
        <v/>
      </c>
      <c r="B89" s="6" t="str">
        <f>IF($A89="","",MPA!$C86)</f>
        <v/>
      </c>
      <c r="C89" s="6" t="str">
        <f t="shared" si="6"/>
        <v/>
      </c>
      <c r="D89" s="6" t="str">
        <f>IF($A89="","",MPA!$D86)</f>
        <v/>
      </c>
      <c r="E89" s="6" t="str">
        <f>IF($A89="","",MPA!$E86)</f>
        <v/>
      </c>
      <c r="F89" s="20" t="str">
        <f t="shared" si="7"/>
        <v/>
      </c>
      <c r="G89" s="24" t="str">
        <f>IF($A89="","",IFERROR(INDEX(CTRS_Control!$C$35:$C$40,MATCH($D89,CTRS_Control!$B$35:$B$40,0)),0))</f>
        <v/>
      </c>
      <c r="H89" s="20" t="str">
        <f t="shared" si="8"/>
        <v/>
      </c>
    </row>
    <row r="90" spans="1:8" x14ac:dyDescent="0.35">
      <c r="A90" s="6" t="str">
        <f>IF(MPA!$B87="","",MPA!$B87)</f>
        <v/>
      </c>
      <c r="B90" s="6" t="str">
        <f>IF($A90="","",MPA!$C87)</f>
        <v/>
      </c>
      <c r="C90" s="6" t="str">
        <f t="shared" si="6"/>
        <v/>
      </c>
      <c r="D90" s="6" t="str">
        <f>IF($A90="","",MPA!$D87)</f>
        <v/>
      </c>
      <c r="E90" s="6" t="str">
        <f>IF($A90="","",MPA!$E87)</f>
        <v/>
      </c>
      <c r="F90" s="20" t="str">
        <f t="shared" si="7"/>
        <v/>
      </c>
      <c r="G90" s="24" t="str">
        <f>IF($A90="","",IFERROR(INDEX(CTRS_Control!$C$35:$C$40,MATCH($D90,CTRS_Control!$B$35:$B$40,0)),0))</f>
        <v/>
      </c>
      <c r="H90" s="20" t="str">
        <f t="shared" si="8"/>
        <v/>
      </c>
    </row>
    <row r="91" spans="1:8" x14ac:dyDescent="0.35">
      <c r="A91" s="6" t="str">
        <f>IF(MPA!$B88="","",MPA!$B88)</f>
        <v/>
      </c>
      <c r="B91" s="6" t="str">
        <f>IF($A91="","",MPA!$C88)</f>
        <v/>
      </c>
      <c r="C91" s="6" t="str">
        <f t="shared" si="6"/>
        <v/>
      </c>
      <c r="D91" s="6" t="str">
        <f>IF($A91="","",MPA!$D88)</f>
        <v/>
      </c>
      <c r="E91" s="6" t="str">
        <f>IF($A91="","",MPA!$E88)</f>
        <v/>
      </c>
      <c r="F91" s="20" t="str">
        <f t="shared" si="7"/>
        <v/>
      </c>
      <c r="G91" s="24" t="str">
        <f>IF($A91="","",IFERROR(INDEX(CTRS_Control!$C$35:$C$40,MATCH($D91,CTRS_Control!$B$35:$B$40,0)),0))</f>
        <v/>
      </c>
      <c r="H91" s="20" t="str">
        <f t="shared" si="8"/>
        <v/>
      </c>
    </row>
    <row r="92" spans="1:8" x14ac:dyDescent="0.35">
      <c r="A92" s="6" t="str">
        <f>IF(MPA!$B89="","",MPA!$B89)</f>
        <v/>
      </c>
      <c r="B92" s="6" t="str">
        <f>IF($A92="","",MPA!$C89)</f>
        <v/>
      </c>
      <c r="C92" s="6" t="str">
        <f t="shared" si="6"/>
        <v/>
      </c>
      <c r="D92" s="6" t="str">
        <f>IF($A92="","",MPA!$D89)</f>
        <v/>
      </c>
      <c r="E92" s="6" t="str">
        <f>IF($A92="","",MPA!$E89)</f>
        <v/>
      </c>
      <c r="F92" s="20" t="str">
        <f t="shared" si="7"/>
        <v/>
      </c>
      <c r="G92" s="24" t="str">
        <f>IF($A92="","",IFERROR(INDEX(CTRS_Control!$C$35:$C$40,MATCH($D92,CTRS_Control!$B$35:$B$40,0)),0))</f>
        <v/>
      </c>
      <c r="H92" s="20" t="str">
        <f t="shared" si="8"/>
        <v/>
      </c>
    </row>
    <row r="93" spans="1:8" x14ac:dyDescent="0.35">
      <c r="A93" s="6" t="str">
        <f>IF(MPA!$B90="","",MPA!$B90)</f>
        <v/>
      </c>
      <c r="B93" s="6" t="str">
        <f>IF($A93="","",MPA!$C90)</f>
        <v/>
      </c>
      <c r="C93" s="6" t="str">
        <f t="shared" si="6"/>
        <v/>
      </c>
      <c r="D93" s="6" t="str">
        <f>IF($A93="","",MPA!$D90)</f>
        <v/>
      </c>
      <c r="E93" s="6" t="str">
        <f>IF($A93="","",MPA!$E90)</f>
        <v/>
      </c>
      <c r="F93" s="20" t="str">
        <f t="shared" si="7"/>
        <v/>
      </c>
      <c r="G93" s="24" t="str">
        <f>IF($A93="","",IFERROR(INDEX(CTRS_Control!$C$35:$C$40,MATCH($D93,CTRS_Control!$B$35:$B$40,0)),0))</f>
        <v/>
      </c>
      <c r="H93" s="20" t="str">
        <f t="shared" si="8"/>
        <v/>
      </c>
    </row>
    <row r="94" spans="1:8" x14ac:dyDescent="0.35">
      <c r="A94" s="6" t="str">
        <f>IF(MPA!$B91="","",MPA!$B91)</f>
        <v/>
      </c>
      <c r="B94" s="6" t="str">
        <f>IF($A94="","",MPA!$C91)</f>
        <v/>
      </c>
      <c r="C94" s="6" t="str">
        <f t="shared" si="6"/>
        <v/>
      </c>
      <c r="D94" s="6" t="str">
        <f>IF($A94="","",MPA!$D91)</f>
        <v/>
      </c>
      <c r="E94" s="6" t="str">
        <f>IF($A94="","",MPA!$E91)</f>
        <v/>
      </c>
      <c r="F94" s="20" t="str">
        <f t="shared" si="7"/>
        <v/>
      </c>
      <c r="G94" s="24" t="str">
        <f>IF($A94="","",IFERROR(INDEX(CTRS_Control!$C$35:$C$40,MATCH($D94,CTRS_Control!$B$35:$B$40,0)),0))</f>
        <v/>
      </c>
      <c r="H94" s="20" t="str">
        <f t="shared" si="8"/>
        <v/>
      </c>
    </row>
    <row r="95" spans="1:8" x14ac:dyDescent="0.35">
      <c r="A95" s="6" t="str">
        <f>IF(MPA!$B92="","",MPA!$B92)</f>
        <v/>
      </c>
      <c r="B95" s="6" t="str">
        <f>IF($A95="","",MPA!$C92)</f>
        <v/>
      </c>
      <c r="C95" s="6" t="str">
        <f t="shared" si="6"/>
        <v/>
      </c>
      <c r="D95" s="6" t="str">
        <f>IF($A95="","",MPA!$D92)</f>
        <v/>
      </c>
      <c r="E95" s="6" t="str">
        <f>IF($A95="","",MPA!$E92)</f>
        <v/>
      </c>
      <c r="F95" s="20" t="str">
        <f t="shared" si="7"/>
        <v/>
      </c>
      <c r="G95" s="24" t="str">
        <f>IF($A95="","",IFERROR(INDEX(CTRS_Control!$C$35:$C$40,MATCH($D95,CTRS_Control!$B$35:$B$40,0)),0))</f>
        <v/>
      </c>
      <c r="H95" s="20" t="str">
        <f t="shared" si="8"/>
        <v/>
      </c>
    </row>
    <row r="96" spans="1:8" x14ac:dyDescent="0.35">
      <c r="A96" s="6" t="str">
        <f>IF(MPA!$B93="","",MPA!$B93)</f>
        <v/>
      </c>
      <c r="B96" s="6" t="str">
        <f>IF($A96="","",MPA!$C93)</f>
        <v/>
      </c>
      <c r="C96" s="6" t="str">
        <f t="shared" si="6"/>
        <v/>
      </c>
      <c r="D96" s="6" t="str">
        <f>IF($A96="","",MPA!$D93)</f>
        <v/>
      </c>
      <c r="E96" s="6" t="str">
        <f>IF($A96="","",MPA!$E93)</f>
        <v/>
      </c>
      <c r="F96" s="20" t="str">
        <f t="shared" si="7"/>
        <v/>
      </c>
      <c r="G96" s="24" t="str">
        <f>IF($A96="","",IFERROR(INDEX(CTRS_Control!$C$35:$C$40,MATCH($D96,CTRS_Control!$B$35:$B$40,0)),0))</f>
        <v/>
      </c>
      <c r="H96" s="20" t="str">
        <f t="shared" si="8"/>
        <v/>
      </c>
    </row>
    <row r="97" spans="1:8" x14ac:dyDescent="0.35">
      <c r="A97" s="6" t="str">
        <f>IF(MPA!$B94="","",MPA!$B94)</f>
        <v/>
      </c>
      <c r="B97" s="6" t="str">
        <f>IF($A97="","",MPA!$C94)</f>
        <v/>
      </c>
      <c r="C97" s="6" t="str">
        <f t="shared" si="6"/>
        <v/>
      </c>
      <c r="D97" s="6" t="str">
        <f>IF($A97="","",MPA!$D94)</f>
        <v/>
      </c>
      <c r="E97" s="6" t="str">
        <f>IF($A97="","",MPA!$E94)</f>
        <v/>
      </c>
      <c r="F97" s="20" t="str">
        <f t="shared" si="7"/>
        <v/>
      </c>
      <c r="G97" s="24" t="str">
        <f>IF($A97="","",IFERROR(INDEX(CTRS_Control!$C$35:$C$40,MATCH($D97,CTRS_Control!$B$35:$B$40,0)),0))</f>
        <v/>
      </c>
      <c r="H97" s="20" t="str">
        <f t="shared" si="8"/>
        <v/>
      </c>
    </row>
    <row r="98" spans="1:8" x14ac:dyDescent="0.35">
      <c r="A98" s="6" t="str">
        <f>IF(MPA!$B95="","",MPA!$B95)</f>
        <v/>
      </c>
      <c r="B98" s="6" t="str">
        <f>IF($A98="","",MPA!$C95)</f>
        <v/>
      </c>
      <c r="C98" s="6" t="str">
        <f t="shared" si="6"/>
        <v/>
      </c>
      <c r="D98" s="6" t="str">
        <f>IF($A98="","",MPA!$D95)</f>
        <v/>
      </c>
      <c r="E98" s="6" t="str">
        <f>IF($A98="","",MPA!$E95)</f>
        <v/>
      </c>
      <c r="F98" s="20" t="str">
        <f t="shared" si="7"/>
        <v/>
      </c>
      <c r="G98" s="24" t="str">
        <f>IF($A98="","",IFERROR(INDEX(CTRS_Control!$C$35:$C$40,MATCH($D98,CTRS_Control!$B$35:$B$40,0)),0))</f>
        <v/>
      </c>
      <c r="H98" s="20" t="str">
        <f t="shared" si="8"/>
        <v/>
      </c>
    </row>
    <row r="99" spans="1:8" x14ac:dyDescent="0.35">
      <c r="A99" s="6" t="str">
        <f>IF(MPA!$B96="","",MPA!$B96)</f>
        <v/>
      </c>
      <c r="B99" s="6" t="str">
        <f>IF($A99="","",MPA!$C96)</f>
        <v/>
      </c>
      <c r="C99" s="6" t="str">
        <f t="shared" si="6"/>
        <v/>
      </c>
      <c r="D99" s="6" t="str">
        <f>IF($A99="","",MPA!$D96)</f>
        <v/>
      </c>
      <c r="E99" s="6" t="str">
        <f>IF($A99="","",MPA!$E96)</f>
        <v/>
      </c>
      <c r="F99" s="20" t="str">
        <f t="shared" si="7"/>
        <v/>
      </c>
      <c r="G99" s="24" t="str">
        <f>IF($A99="","",IFERROR(INDEX(CTRS_Control!$C$35:$C$40,MATCH($D99,CTRS_Control!$B$35:$B$40,0)),0))</f>
        <v/>
      </c>
      <c r="H99" s="20" t="str">
        <f t="shared" si="8"/>
        <v/>
      </c>
    </row>
    <row r="100" spans="1:8" x14ac:dyDescent="0.35">
      <c r="A100" s="6" t="str">
        <f>IF(MPA!$B97="","",MPA!$B97)</f>
        <v/>
      </c>
      <c r="B100" s="6" t="str">
        <f>IF($A100="","",MPA!$C97)</f>
        <v/>
      </c>
      <c r="C100" s="6" t="str">
        <f t="shared" si="6"/>
        <v/>
      </c>
      <c r="D100" s="6" t="str">
        <f>IF($A100="","",MPA!$D97)</f>
        <v/>
      </c>
      <c r="E100" s="6" t="str">
        <f>IF($A100="","",MPA!$E97)</f>
        <v/>
      </c>
      <c r="F100" s="20" t="str">
        <f t="shared" si="7"/>
        <v/>
      </c>
      <c r="G100" s="24" t="str">
        <f>IF($A100="","",IFERROR(INDEX(CTRS_Control!$C$35:$C$40,MATCH($D100,CTRS_Control!$B$35:$B$40,0)),0))</f>
        <v/>
      </c>
      <c r="H100" s="20" t="str">
        <f t="shared" si="8"/>
        <v/>
      </c>
    </row>
    <row r="101" spans="1:8" x14ac:dyDescent="0.35">
      <c r="A101" s="6" t="str">
        <f>IF(MPA!$B98="","",MPA!$B98)</f>
        <v/>
      </c>
      <c r="B101" s="6" t="str">
        <f>IF($A101="","",MPA!$C98)</f>
        <v/>
      </c>
      <c r="C101" s="6" t="str">
        <f t="shared" si="6"/>
        <v/>
      </c>
      <c r="D101" s="6" t="str">
        <f>IF($A101="","",MPA!$D98)</f>
        <v/>
      </c>
      <c r="E101" s="6" t="str">
        <f>IF($A101="","",MPA!$E98)</f>
        <v/>
      </c>
      <c r="F101" s="20" t="str">
        <f t="shared" si="7"/>
        <v/>
      </c>
      <c r="G101" s="24" t="str">
        <f>IF($A101="","",IFERROR(INDEX(CTRS_Control!$C$35:$C$40,MATCH($D101,CTRS_Control!$B$35:$B$40,0)),0))</f>
        <v/>
      </c>
      <c r="H101" s="20" t="str">
        <f t="shared" si="8"/>
        <v/>
      </c>
    </row>
    <row r="102" spans="1:8" x14ac:dyDescent="0.35">
      <c r="A102" s="6" t="str">
        <f>IF(MPA!$B99="","",MPA!$B99)</f>
        <v/>
      </c>
      <c r="B102" s="6" t="str">
        <f>IF($A102="","",MPA!$C99)</f>
        <v/>
      </c>
      <c r="C102" s="6" t="str">
        <f t="shared" ref="C102:C123" si="9">IF($A102="","",IFERROR(INDEX($K$6:$K$25,MATCH($B102,$J$6:$J$25,0)),"?"))</f>
        <v/>
      </c>
      <c r="D102" s="6" t="str">
        <f>IF($A102="","",MPA!$D99)</f>
        <v/>
      </c>
      <c r="E102" s="6" t="str">
        <f>IF($A102="","",MPA!$E99)</f>
        <v/>
      </c>
      <c r="F102" s="20" t="str">
        <f t="shared" ref="F102:F123" si="10">IF($A102="","",IFERROR(VALUE(SUBSTITUTE(SUBSTITUTE(SUBSTITUTE($E102,"&lt;",""),",","")," km2",""))*100,0))</f>
        <v/>
      </c>
      <c r="G102" s="24" t="str">
        <f>IF($A102="","",IFERROR(INDEX(CTRS_Control!$C$35:$C$40,MATCH($D102,CTRS_Control!$B$35:$B$40,0)),0))</f>
        <v/>
      </c>
      <c r="H102" s="20" t="str">
        <f t="shared" ref="H102:H123" si="11">IF($A102="","",$F102*$G102)</f>
        <v/>
      </c>
    </row>
    <row r="103" spans="1:8" x14ac:dyDescent="0.35">
      <c r="A103" s="6" t="str">
        <f>IF(MPA!$B100="","",MPA!$B100)</f>
        <v/>
      </c>
      <c r="B103" s="6" t="str">
        <f>IF($A103="","",MPA!$C100)</f>
        <v/>
      </c>
      <c r="C103" s="6" t="str">
        <f t="shared" si="9"/>
        <v/>
      </c>
      <c r="D103" s="6" t="str">
        <f>IF($A103="","",MPA!$D100)</f>
        <v/>
      </c>
      <c r="E103" s="6" t="str">
        <f>IF($A103="","",MPA!$E100)</f>
        <v/>
      </c>
      <c r="F103" s="20" t="str">
        <f t="shared" si="10"/>
        <v/>
      </c>
      <c r="G103" s="24" t="str">
        <f>IF($A103="","",IFERROR(INDEX(CTRS_Control!$C$35:$C$40,MATCH($D103,CTRS_Control!$B$35:$B$40,0)),0))</f>
        <v/>
      </c>
      <c r="H103" s="20" t="str">
        <f t="shared" si="11"/>
        <v/>
      </c>
    </row>
    <row r="104" spans="1:8" x14ac:dyDescent="0.35">
      <c r="A104" s="6" t="str">
        <f>IF(MPA!$B101="","",MPA!$B101)</f>
        <v/>
      </c>
      <c r="B104" s="6" t="str">
        <f>IF($A104="","",MPA!$C101)</f>
        <v/>
      </c>
      <c r="C104" s="6" t="str">
        <f t="shared" si="9"/>
        <v/>
      </c>
      <c r="D104" s="6" t="str">
        <f>IF($A104="","",MPA!$D101)</f>
        <v/>
      </c>
      <c r="E104" s="6" t="str">
        <f>IF($A104="","",MPA!$E101)</f>
        <v/>
      </c>
      <c r="F104" s="20" t="str">
        <f t="shared" si="10"/>
        <v/>
      </c>
      <c r="G104" s="24" t="str">
        <f>IF($A104="","",IFERROR(INDEX(CTRS_Control!$C$35:$C$40,MATCH($D104,CTRS_Control!$B$35:$B$40,0)),0))</f>
        <v/>
      </c>
      <c r="H104" s="20" t="str">
        <f t="shared" si="11"/>
        <v/>
      </c>
    </row>
    <row r="105" spans="1:8" x14ac:dyDescent="0.35">
      <c r="A105" s="6" t="str">
        <f>IF(MPA!$B102="","",MPA!$B102)</f>
        <v/>
      </c>
      <c r="B105" s="6" t="str">
        <f>IF($A105="","",MPA!$C102)</f>
        <v/>
      </c>
      <c r="C105" s="6" t="str">
        <f t="shared" si="9"/>
        <v/>
      </c>
      <c r="D105" s="6" t="str">
        <f>IF($A105="","",MPA!$D102)</f>
        <v/>
      </c>
      <c r="E105" s="6" t="str">
        <f>IF($A105="","",MPA!$E102)</f>
        <v/>
      </c>
      <c r="F105" s="20" t="str">
        <f t="shared" si="10"/>
        <v/>
      </c>
      <c r="G105" s="24" t="str">
        <f>IF($A105="","",IFERROR(INDEX(CTRS_Control!$C$35:$C$40,MATCH($D105,CTRS_Control!$B$35:$B$40,0)),0))</f>
        <v/>
      </c>
      <c r="H105" s="20" t="str">
        <f t="shared" si="11"/>
        <v/>
      </c>
    </row>
    <row r="106" spans="1:8" x14ac:dyDescent="0.35">
      <c r="A106" s="6" t="str">
        <f>IF(MPA!$B103="","",MPA!$B103)</f>
        <v/>
      </c>
      <c r="B106" s="6" t="str">
        <f>IF($A106="","",MPA!$C103)</f>
        <v/>
      </c>
      <c r="C106" s="6" t="str">
        <f t="shared" si="9"/>
        <v/>
      </c>
      <c r="D106" s="6" t="str">
        <f>IF($A106="","",MPA!$D103)</f>
        <v/>
      </c>
      <c r="E106" s="6" t="str">
        <f>IF($A106="","",MPA!$E103)</f>
        <v/>
      </c>
      <c r="F106" s="20" t="str">
        <f t="shared" si="10"/>
        <v/>
      </c>
      <c r="G106" s="24" t="str">
        <f>IF($A106="","",IFERROR(INDEX(CTRS_Control!$C$35:$C$40,MATCH($D106,CTRS_Control!$B$35:$B$40,0)),0))</f>
        <v/>
      </c>
      <c r="H106" s="20" t="str">
        <f t="shared" si="11"/>
        <v/>
      </c>
    </row>
    <row r="107" spans="1:8" x14ac:dyDescent="0.35">
      <c r="A107" s="6" t="str">
        <f>IF(MPA!$B104="","",MPA!$B104)</f>
        <v/>
      </c>
      <c r="B107" s="6" t="str">
        <f>IF($A107="","",MPA!$C104)</f>
        <v/>
      </c>
      <c r="C107" s="6" t="str">
        <f t="shared" si="9"/>
        <v/>
      </c>
      <c r="D107" s="6" t="str">
        <f>IF($A107="","",MPA!$D104)</f>
        <v/>
      </c>
      <c r="E107" s="6" t="str">
        <f>IF($A107="","",MPA!$E104)</f>
        <v/>
      </c>
      <c r="F107" s="20" t="str">
        <f t="shared" si="10"/>
        <v/>
      </c>
      <c r="G107" s="24" t="str">
        <f>IF($A107="","",IFERROR(INDEX(CTRS_Control!$C$35:$C$40,MATCH($D107,CTRS_Control!$B$35:$B$40,0)),0))</f>
        <v/>
      </c>
      <c r="H107" s="20" t="str">
        <f t="shared" si="11"/>
        <v/>
      </c>
    </row>
    <row r="108" spans="1:8" x14ac:dyDescent="0.35">
      <c r="A108" s="6" t="str">
        <f>IF(MPA!$B105="","",MPA!$B105)</f>
        <v/>
      </c>
      <c r="B108" s="6" t="str">
        <f>IF($A108="","",MPA!$C105)</f>
        <v/>
      </c>
      <c r="C108" s="6" t="str">
        <f t="shared" si="9"/>
        <v/>
      </c>
      <c r="D108" s="6" t="str">
        <f>IF($A108="","",MPA!$D105)</f>
        <v/>
      </c>
      <c r="E108" s="6" t="str">
        <f>IF($A108="","",MPA!$E105)</f>
        <v/>
      </c>
      <c r="F108" s="20" t="str">
        <f t="shared" si="10"/>
        <v/>
      </c>
      <c r="G108" s="24" t="str">
        <f>IF($A108="","",IFERROR(INDEX(CTRS_Control!$C$35:$C$40,MATCH($D108,CTRS_Control!$B$35:$B$40,0)),0))</f>
        <v/>
      </c>
      <c r="H108" s="20" t="str">
        <f t="shared" si="11"/>
        <v/>
      </c>
    </row>
    <row r="109" spans="1:8" x14ac:dyDescent="0.35">
      <c r="A109" s="6" t="str">
        <f>IF(MPA!$B106="","",MPA!$B106)</f>
        <v/>
      </c>
      <c r="B109" s="6" t="str">
        <f>IF($A109="","",MPA!$C106)</f>
        <v/>
      </c>
      <c r="C109" s="6" t="str">
        <f t="shared" si="9"/>
        <v/>
      </c>
      <c r="D109" s="6" t="str">
        <f>IF($A109="","",MPA!$D106)</f>
        <v/>
      </c>
      <c r="E109" s="6" t="str">
        <f>IF($A109="","",MPA!$E106)</f>
        <v/>
      </c>
      <c r="F109" s="20" t="str">
        <f t="shared" si="10"/>
        <v/>
      </c>
      <c r="G109" s="24" t="str">
        <f>IF($A109="","",IFERROR(INDEX(CTRS_Control!$C$35:$C$40,MATCH($D109,CTRS_Control!$B$35:$B$40,0)),0))</f>
        <v/>
      </c>
      <c r="H109" s="20" t="str">
        <f t="shared" si="11"/>
        <v/>
      </c>
    </row>
    <row r="110" spans="1:8" x14ac:dyDescent="0.35">
      <c r="A110" s="6" t="str">
        <f>IF(MPA!$B107="","",MPA!$B107)</f>
        <v/>
      </c>
      <c r="B110" s="6" t="str">
        <f>IF($A110="","",MPA!$C107)</f>
        <v/>
      </c>
      <c r="C110" s="6" t="str">
        <f t="shared" si="9"/>
        <v/>
      </c>
      <c r="D110" s="6" t="str">
        <f>IF($A110="","",MPA!$D107)</f>
        <v/>
      </c>
      <c r="E110" s="6" t="str">
        <f>IF($A110="","",MPA!$E107)</f>
        <v/>
      </c>
      <c r="F110" s="20" t="str">
        <f t="shared" si="10"/>
        <v/>
      </c>
      <c r="G110" s="24" t="str">
        <f>IF($A110="","",IFERROR(INDEX(CTRS_Control!$C$35:$C$40,MATCH($D110,CTRS_Control!$B$35:$B$40,0)),0))</f>
        <v/>
      </c>
      <c r="H110" s="20" t="str">
        <f t="shared" si="11"/>
        <v/>
      </c>
    </row>
    <row r="111" spans="1:8" x14ac:dyDescent="0.35">
      <c r="A111" s="6" t="str">
        <f>IF(MPA!$B108="","",MPA!$B108)</f>
        <v/>
      </c>
      <c r="B111" s="6" t="str">
        <f>IF($A111="","",MPA!$C108)</f>
        <v/>
      </c>
      <c r="C111" s="6" t="str">
        <f t="shared" si="9"/>
        <v/>
      </c>
      <c r="D111" s="6" t="str">
        <f>IF($A111="","",MPA!$D108)</f>
        <v/>
      </c>
      <c r="E111" s="6" t="str">
        <f>IF($A111="","",MPA!$E108)</f>
        <v/>
      </c>
      <c r="F111" s="20" t="str">
        <f t="shared" si="10"/>
        <v/>
      </c>
      <c r="G111" s="24" t="str">
        <f>IF($A111="","",IFERROR(INDEX(CTRS_Control!$C$35:$C$40,MATCH($D111,CTRS_Control!$B$35:$B$40,0)),0))</f>
        <v/>
      </c>
      <c r="H111" s="20" t="str">
        <f t="shared" si="11"/>
        <v/>
      </c>
    </row>
    <row r="112" spans="1:8" x14ac:dyDescent="0.35">
      <c r="A112" s="6" t="str">
        <f>IF(MPA!$B109="","",MPA!$B109)</f>
        <v/>
      </c>
      <c r="B112" s="6" t="str">
        <f>IF($A112="","",MPA!$C109)</f>
        <v/>
      </c>
      <c r="C112" s="6" t="str">
        <f t="shared" si="9"/>
        <v/>
      </c>
      <c r="D112" s="6" t="str">
        <f>IF($A112="","",MPA!$D109)</f>
        <v/>
      </c>
      <c r="E112" s="6" t="str">
        <f>IF($A112="","",MPA!$E109)</f>
        <v/>
      </c>
      <c r="F112" s="20" t="str">
        <f t="shared" si="10"/>
        <v/>
      </c>
      <c r="G112" s="24" t="str">
        <f>IF($A112="","",IFERROR(INDEX(CTRS_Control!$C$35:$C$40,MATCH($D112,CTRS_Control!$B$35:$B$40,0)),0))</f>
        <v/>
      </c>
      <c r="H112" s="20" t="str">
        <f t="shared" si="11"/>
        <v/>
      </c>
    </row>
    <row r="113" spans="1:8" x14ac:dyDescent="0.35">
      <c r="A113" s="6" t="str">
        <f>IF(MPA!$B110="","",MPA!$B110)</f>
        <v/>
      </c>
      <c r="B113" s="6" t="str">
        <f>IF($A113="","",MPA!$C110)</f>
        <v/>
      </c>
      <c r="C113" s="6" t="str">
        <f t="shared" si="9"/>
        <v/>
      </c>
      <c r="D113" s="6" t="str">
        <f>IF($A113="","",MPA!$D110)</f>
        <v/>
      </c>
      <c r="E113" s="6" t="str">
        <f>IF($A113="","",MPA!$E110)</f>
        <v/>
      </c>
      <c r="F113" s="20" t="str">
        <f t="shared" si="10"/>
        <v/>
      </c>
      <c r="G113" s="24" t="str">
        <f>IF($A113="","",IFERROR(INDEX(CTRS_Control!$C$35:$C$40,MATCH($D113,CTRS_Control!$B$35:$B$40,0)),0))</f>
        <v/>
      </c>
      <c r="H113" s="20" t="str">
        <f t="shared" si="11"/>
        <v/>
      </c>
    </row>
    <row r="114" spans="1:8" x14ac:dyDescent="0.35">
      <c r="A114" s="6" t="str">
        <f>IF(MPA!$B111="","",MPA!$B111)</f>
        <v/>
      </c>
      <c r="B114" s="6" t="str">
        <f>IF($A114="","",MPA!$C111)</f>
        <v/>
      </c>
      <c r="C114" s="6" t="str">
        <f t="shared" si="9"/>
        <v/>
      </c>
      <c r="D114" s="6" t="str">
        <f>IF($A114="","",MPA!$D111)</f>
        <v/>
      </c>
      <c r="E114" s="6" t="str">
        <f>IF($A114="","",MPA!$E111)</f>
        <v/>
      </c>
      <c r="F114" s="20" t="str">
        <f t="shared" si="10"/>
        <v/>
      </c>
      <c r="G114" s="24" t="str">
        <f>IF($A114="","",IFERROR(INDEX(CTRS_Control!$C$35:$C$40,MATCH($D114,CTRS_Control!$B$35:$B$40,0)),0))</f>
        <v/>
      </c>
      <c r="H114" s="20" t="str">
        <f t="shared" si="11"/>
        <v/>
      </c>
    </row>
    <row r="115" spans="1:8" x14ac:dyDescent="0.35">
      <c r="A115" s="6" t="str">
        <f>IF(MPA!$B112="","",MPA!$B112)</f>
        <v/>
      </c>
      <c r="B115" s="6" t="str">
        <f>IF($A115="","",MPA!$C112)</f>
        <v/>
      </c>
      <c r="C115" s="6" t="str">
        <f t="shared" si="9"/>
        <v/>
      </c>
      <c r="D115" s="6" t="str">
        <f>IF($A115="","",MPA!$D112)</f>
        <v/>
      </c>
      <c r="E115" s="6" t="str">
        <f>IF($A115="","",MPA!$E112)</f>
        <v/>
      </c>
      <c r="F115" s="20" t="str">
        <f t="shared" si="10"/>
        <v/>
      </c>
      <c r="G115" s="24" t="str">
        <f>IF($A115="","",IFERROR(INDEX(CTRS_Control!$C$35:$C$40,MATCH($D115,CTRS_Control!$B$35:$B$40,0)),0))</f>
        <v/>
      </c>
      <c r="H115" s="20" t="str">
        <f t="shared" si="11"/>
        <v/>
      </c>
    </row>
    <row r="116" spans="1:8" x14ac:dyDescent="0.35">
      <c r="A116" s="6" t="str">
        <f>IF(MPA!$B113="","",MPA!$B113)</f>
        <v/>
      </c>
      <c r="B116" s="6" t="str">
        <f>IF($A116="","",MPA!$C113)</f>
        <v/>
      </c>
      <c r="C116" s="6" t="str">
        <f t="shared" si="9"/>
        <v/>
      </c>
      <c r="D116" s="6" t="str">
        <f>IF($A116="","",MPA!$D113)</f>
        <v/>
      </c>
      <c r="E116" s="6" t="str">
        <f>IF($A116="","",MPA!$E113)</f>
        <v/>
      </c>
      <c r="F116" s="20" t="str">
        <f t="shared" si="10"/>
        <v/>
      </c>
      <c r="G116" s="24" t="str">
        <f>IF($A116="","",IFERROR(INDEX(CTRS_Control!$C$35:$C$40,MATCH($D116,CTRS_Control!$B$35:$B$40,0)),0))</f>
        <v/>
      </c>
      <c r="H116" s="20" t="str">
        <f t="shared" si="11"/>
        <v/>
      </c>
    </row>
    <row r="117" spans="1:8" x14ac:dyDescent="0.35">
      <c r="A117" s="6" t="str">
        <f>IF(MPA!$B114="","",MPA!$B114)</f>
        <v/>
      </c>
      <c r="B117" s="6" t="str">
        <f>IF($A117="","",MPA!$C114)</f>
        <v/>
      </c>
      <c r="C117" s="6" t="str">
        <f t="shared" si="9"/>
        <v/>
      </c>
      <c r="D117" s="6" t="str">
        <f>IF($A117="","",MPA!$D114)</f>
        <v/>
      </c>
      <c r="E117" s="6" t="str">
        <f>IF($A117="","",MPA!$E114)</f>
        <v/>
      </c>
      <c r="F117" s="20" t="str">
        <f t="shared" si="10"/>
        <v/>
      </c>
      <c r="G117" s="24" t="str">
        <f>IF($A117="","",IFERROR(INDEX(CTRS_Control!$C$35:$C$40,MATCH($D117,CTRS_Control!$B$35:$B$40,0)),0))</f>
        <v/>
      </c>
      <c r="H117" s="20" t="str">
        <f t="shared" si="11"/>
        <v/>
      </c>
    </row>
    <row r="118" spans="1:8" x14ac:dyDescent="0.35">
      <c r="A118" s="6" t="str">
        <f>IF(MPA!$B115="","",MPA!$B115)</f>
        <v/>
      </c>
      <c r="B118" s="6" t="str">
        <f>IF($A118="","",MPA!$C115)</f>
        <v/>
      </c>
      <c r="C118" s="6" t="str">
        <f t="shared" si="9"/>
        <v/>
      </c>
      <c r="D118" s="6" t="str">
        <f>IF($A118="","",MPA!$D115)</f>
        <v/>
      </c>
      <c r="E118" s="6" t="str">
        <f>IF($A118="","",MPA!$E115)</f>
        <v/>
      </c>
      <c r="F118" s="20" t="str">
        <f t="shared" si="10"/>
        <v/>
      </c>
      <c r="G118" s="24" t="str">
        <f>IF($A118="","",IFERROR(INDEX(CTRS_Control!$C$35:$C$40,MATCH($D118,CTRS_Control!$B$35:$B$40,0)),0))</f>
        <v/>
      </c>
      <c r="H118" s="20" t="str">
        <f t="shared" si="11"/>
        <v/>
      </c>
    </row>
    <row r="119" spans="1:8" x14ac:dyDescent="0.35">
      <c r="A119" s="6" t="str">
        <f>IF(MPA!$B116="","",MPA!$B116)</f>
        <v/>
      </c>
      <c r="B119" s="6" t="str">
        <f>IF($A119="","",MPA!$C116)</f>
        <v/>
      </c>
      <c r="C119" s="6" t="str">
        <f t="shared" si="9"/>
        <v/>
      </c>
      <c r="D119" s="6" t="str">
        <f>IF($A119="","",MPA!$D116)</f>
        <v/>
      </c>
      <c r="E119" s="6" t="str">
        <f>IF($A119="","",MPA!$E116)</f>
        <v/>
      </c>
      <c r="F119" s="20" t="str">
        <f t="shared" si="10"/>
        <v/>
      </c>
      <c r="G119" s="24" t="str">
        <f>IF($A119="","",IFERROR(INDEX(CTRS_Control!$C$35:$C$40,MATCH($D119,CTRS_Control!$B$35:$B$40,0)),0))</f>
        <v/>
      </c>
      <c r="H119" s="20" t="str">
        <f t="shared" si="11"/>
        <v/>
      </c>
    </row>
    <row r="120" spans="1:8" x14ac:dyDescent="0.35">
      <c r="A120" s="6" t="str">
        <f>IF(MPA!$B117="","",MPA!$B117)</f>
        <v/>
      </c>
      <c r="B120" s="6" t="str">
        <f>IF($A120="","",MPA!$C117)</f>
        <v/>
      </c>
      <c r="C120" s="6" t="str">
        <f t="shared" si="9"/>
        <v/>
      </c>
      <c r="D120" s="6" t="str">
        <f>IF($A120="","",MPA!$D117)</f>
        <v/>
      </c>
      <c r="E120" s="6" t="str">
        <f>IF($A120="","",MPA!$E117)</f>
        <v/>
      </c>
      <c r="F120" s="20" t="str">
        <f t="shared" si="10"/>
        <v/>
      </c>
      <c r="G120" s="24" t="str">
        <f>IF($A120="","",IFERROR(INDEX(CTRS_Control!$C$35:$C$40,MATCH($D120,CTRS_Control!$B$35:$B$40,0)),0))</f>
        <v/>
      </c>
      <c r="H120" s="20" t="str">
        <f t="shared" si="11"/>
        <v/>
      </c>
    </row>
    <row r="121" spans="1:8" x14ac:dyDescent="0.35">
      <c r="A121" s="6" t="str">
        <f>IF(MPA!$B118="","",MPA!$B118)</f>
        <v/>
      </c>
      <c r="B121" s="6" t="str">
        <f>IF($A121="","",MPA!$C118)</f>
        <v/>
      </c>
      <c r="C121" s="6" t="str">
        <f t="shared" si="9"/>
        <v/>
      </c>
      <c r="D121" s="6" t="str">
        <f>IF($A121="","",MPA!$D118)</f>
        <v/>
      </c>
      <c r="E121" s="6" t="str">
        <f>IF($A121="","",MPA!$E118)</f>
        <v/>
      </c>
      <c r="F121" s="20" t="str">
        <f t="shared" si="10"/>
        <v/>
      </c>
      <c r="G121" s="24" t="str">
        <f>IF($A121="","",IFERROR(INDEX(CTRS_Control!$C$35:$C$40,MATCH($D121,CTRS_Control!$B$35:$B$40,0)),0))</f>
        <v/>
      </c>
      <c r="H121" s="20" t="str">
        <f t="shared" si="11"/>
        <v/>
      </c>
    </row>
    <row r="122" spans="1:8" x14ac:dyDescent="0.35">
      <c r="A122" s="6" t="str">
        <f>IF(MPA!$B119="","",MPA!$B119)</f>
        <v/>
      </c>
      <c r="B122" s="6" t="str">
        <f>IF($A122="","",MPA!$C119)</f>
        <v/>
      </c>
      <c r="C122" s="6" t="str">
        <f t="shared" si="9"/>
        <v/>
      </c>
      <c r="D122" s="6" t="str">
        <f>IF($A122="","",MPA!$D119)</f>
        <v/>
      </c>
      <c r="E122" s="6" t="str">
        <f>IF($A122="","",MPA!$E119)</f>
        <v/>
      </c>
      <c r="F122" s="20" t="str">
        <f t="shared" si="10"/>
        <v/>
      </c>
      <c r="G122" s="24" t="str">
        <f>IF($A122="","",IFERROR(INDEX(CTRS_Control!$C$35:$C$40,MATCH($D122,CTRS_Control!$B$35:$B$40,0)),0))</f>
        <v/>
      </c>
      <c r="H122" s="20" t="str">
        <f t="shared" si="11"/>
        <v/>
      </c>
    </row>
    <row r="123" spans="1:8" x14ac:dyDescent="0.35">
      <c r="A123" s="6" t="str">
        <f>IF(MPA!$B120="","",MPA!$B120)</f>
        <v/>
      </c>
      <c r="B123" s="6" t="str">
        <f>IF($A123="","",MPA!$C120)</f>
        <v/>
      </c>
      <c r="C123" s="6" t="str">
        <f t="shared" si="9"/>
        <v/>
      </c>
      <c r="D123" s="6" t="str">
        <f>IF($A123="","",MPA!$D120)</f>
        <v/>
      </c>
      <c r="E123" s="6" t="str">
        <f>IF($A123="","",MPA!$E120)</f>
        <v/>
      </c>
      <c r="F123" s="20" t="str">
        <f t="shared" si="10"/>
        <v/>
      </c>
      <c r="G123" s="24" t="str">
        <f>IF($A123="","",IFERROR(INDEX(CTRS_Control!$C$35:$C$40,MATCH($D123,CTRS_Control!$B$35:$B$40,0)),0))</f>
        <v/>
      </c>
      <c r="H123" s="20" t="str">
        <f t="shared" si="11"/>
        <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sheetPr>
  <dimension ref="A1:F63"/>
  <sheetViews>
    <sheetView workbookViewId="0">
      <pane ySplit="5" topLeftCell="A6" activePane="bottomLeft" state="frozen"/>
      <selection pane="bottomLeft"/>
    </sheetView>
  </sheetViews>
  <sheetFormatPr defaultRowHeight="14.5" x14ac:dyDescent="0.35"/>
  <cols>
    <col min="1" max="1" width="40" customWidth="1"/>
    <col min="2" max="2" width="26" customWidth="1"/>
    <col min="3" max="5" width="18" customWidth="1"/>
    <col min="6" max="6" width="30" customWidth="1"/>
  </cols>
  <sheetData>
    <row r="1" spans="1:6" ht="18" x14ac:dyDescent="0.4">
      <c r="A1" s="1" t="s">
        <v>196</v>
      </c>
    </row>
    <row r="2" spans="1:6" x14ac:dyDescent="0.35">
      <c r="A2" s="6" t="s">
        <v>197</v>
      </c>
    </row>
    <row r="5" spans="1:6" x14ac:dyDescent="0.35">
      <c r="A5" s="4" t="s">
        <v>198</v>
      </c>
      <c r="B5" s="4" t="s">
        <v>199</v>
      </c>
      <c r="C5" s="4" t="s">
        <v>200</v>
      </c>
      <c r="D5" s="4" t="s">
        <v>201</v>
      </c>
      <c r="E5" s="4" t="s">
        <v>202</v>
      </c>
      <c r="F5" s="4" t="s">
        <v>159</v>
      </c>
    </row>
    <row r="6" spans="1:6" x14ac:dyDescent="0.35">
      <c r="A6" s="6" t="str">
        <f>IF(OR(MyIMCA!$B3="",MyIMCA!$A3="total"),"",MyIMCA!$A3)</f>
        <v>7. Sungai Muar</v>
      </c>
      <c r="B6" s="6" t="str">
        <f>IF($A6="","",MyIMCA!$B3)</f>
        <v>Johor</v>
      </c>
      <c r="C6" s="17">
        <f>IF($A6="","",IF(ISNUMBER(MyIMCA!$C3),MyIMCA!$C3,0))</f>
        <v>731.6</v>
      </c>
      <c r="D6" s="22">
        <f t="shared" ref="D6:D37" si="0">IF($A6="",0,LEN($B6)-LEN(SUBSTITUTE($B6,"/",""))+1)</f>
        <v>1</v>
      </c>
      <c r="E6" s="17">
        <f t="shared" ref="E6:E37" si="1">IF($A6="",0,$C6/$D6)</f>
        <v>731.6</v>
      </c>
      <c r="F6" s="6" t="str">
        <f>IF($A6="","",IF(ISNUMBER(MyIMCA!$C3),"","area missing → counted as 0"))</f>
        <v/>
      </c>
    </row>
    <row r="7" spans="1:6" x14ac:dyDescent="0.35">
      <c r="A7" s="6" t="str">
        <f>IF(OR(MyIMCA!$B4="",MyIMCA!$A4="total"),"",MyIMCA!$A4)</f>
        <v>8. Southwest Johor</v>
      </c>
      <c r="B7" s="6" t="str">
        <f>IF($A7="","",MyIMCA!$B4)</f>
        <v>Johor</v>
      </c>
      <c r="C7" s="17">
        <f>IF($A7="","",IF(ISNUMBER(MyIMCA!$C4),MyIMCA!$C4,0))</f>
        <v>88845</v>
      </c>
      <c r="D7" s="22">
        <f t="shared" si="0"/>
        <v>1</v>
      </c>
      <c r="E7" s="17">
        <f t="shared" si="1"/>
        <v>88845</v>
      </c>
      <c r="F7" s="6" t="str">
        <f>IF($A7="","",IF(ISNUMBER(MyIMCA!$C4),"","area missing → counted as 0"))</f>
        <v/>
      </c>
    </row>
    <row r="8" spans="1:6" x14ac:dyDescent="0.35">
      <c r="A8" s="6" t="str">
        <f>IF(OR(MyIMCA!$B5="",MyIMCA!$A5="total"),"",MyIMCA!$A5)</f>
        <v>9. Kepulauan Mersing</v>
      </c>
      <c r="B8" s="6" t="str">
        <f>IF($A8="","",MyIMCA!$B5)</f>
        <v>Johor/Pahang</v>
      </c>
      <c r="C8" s="17">
        <f>IF($A8="","",IF(ISNUMBER(MyIMCA!$C5),MyIMCA!$C5,0))</f>
        <v>748986.8</v>
      </c>
      <c r="D8" s="22">
        <f t="shared" si="0"/>
        <v>2</v>
      </c>
      <c r="E8" s="17">
        <f t="shared" si="1"/>
        <v>374493.4</v>
      </c>
      <c r="F8" s="6" t="str">
        <f>IF($A8="","",IF(ISNUMBER(MyIMCA!$C5),"","area missing → counted as 0"))</f>
        <v/>
      </c>
    </row>
    <row r="9" spans="1:6" x14ac:dyDescent="0.35">
      <c r="A9" s="6" t="str">
        <f>IF(OR(MyIMCA!$B6="",MyIMCA!$A6="total"),"",MyIMCA!$A6)</f>
        <v>1. Langkawi-Payar</v>
      </c>
      <c r="B9" s="6" t="str">
        <f>IF($A9="","",MyIMCA!$B6)</f>
        <v>Kedah</v>
      </c>
      <c r="C9" s="17">
        <f>IF($A9="","",IF(ISNUMBER(MyIMCA!$C6),MyIMCA!$C6,0))</f>
        <v>632234</v>
      </c>
      <c r="D9" s="22">
        <f t="shared" si="0"/>
        <v>1</v>
      </c>
      <c r="E9" s="17">
        <f t="shared" si="1"/>
        <v>632234</v>
      </c>
      <c r="F9" s="6" t="str">
        <f>IF($A9="","",IF(ISNUMBER(MyIMCA!$C6),"","area missing → counted as 0"))</f>
        <v/>
      </c>
    </row>
    <row r="10" spans="1:6" x14ac:dyDescent="0.35">
      <c r="A10" s="6" t="str">
        <f>IF(OR(MyIMCA!$B7="",MyIMCA!$A7="total"),"",MyIMCA!$A7)</f>
        <v>2. Merbok</v>
      </c>
      <c r="B10" s="6" t="str">
        <f>IF($A10="","",MyIMCA!$B7)</f>
        <v>Kedah</v>
      </c>
      <c r="C10" s="17">
        <f>IF($A10="","",IF(ISNUMBER(MyIMCA!$C7),MyIMCA!$C7,0))</f>
        <v>6589</v>
      </c>
      <c r="D10" s="22">
        <f t="shared" si="0"/>
        <v>1</v>
      </c>
      <c r="E10" s="17">
        <f t="shared" si="1"/>
        <v>6589</v>
      </c>
      <c r="F10" s="6" t="str">
        <f>IF($A10="","",IF(ISNUMBER(MyIMCA!$C7),"","area missing → counted as 0"))</f>
        <v/>
      </c>
    </row>
    <row r="11" spans="1:6" x14ac:dyDescent="0.35">
      <c r="A11" s="6" t="str">
        <f>IF(OR(MyIMCA!$B8="",MyIMCA!$A8="total"),"",MyIMCA!$A8)</f>
        <v>1. Pulau Perak</v>
      </c>
      <c r="B11" s="6" t="str">
        <f>IF($A11="","",MyIMCA!$B8)</f>
        <v>Kedah/Perak</v>
      </c>
      <c r="C11" s="17">
        <f>IF($A11="","",IF(ISNUMBER(MyIMCA!$C8),MyIMCA!$C8,0))</f>
        <v>589.6</v>
      </c>
      <c r="D11" s="22">
        <f t="shared" si="0"/>
        <v>2</v>
      </c>
      <c r="E11" s="17">
        <f t="shared" si="1"/>
        <v>294.8</v>
      </c>
      <c r="F11" s="6" t="str">
        <f>IF($A11="","",IF(ISNUMBER(MyIMCA!$C8),"","area missing → counted as 0"))</f>
        <v/>
      </c>
    </row>
    <row r="12" spans="1:6" x14ac:dyDescent="0.35">
      <c r="A12" s="6" t="str">
        <f>IF(OR(MyIMCA!$B9="",MyIMCA!$A9="total"),"",MyIMCA!$A9)</f>
        <v>6. Tanjung Tuan-Kuala Linggi</v>
      </c>
      <c r="B12" s="6" t="str">
        <f>IF($A12="","",MyIMCA!$B9)</f>
        <v>Negeri Sembilan/Melaka</v>
      </c>
      <c r="C12" s="17">
        <f>IF($A12="","",IF(ISNUMBER(MyIMCA!$C9),MyIMCA!$C9,0))</f>
        <v>4650.8</v>
      </c>
      <c r="D12" s="22">
        <f t="shared" si="0"/>
        <v>2</v>
      </c>
      <c r="E12" s="17">
        <f t="shared" si="1"/>
        <v>2325.4</v>
      </c>
      <c r="F12" s="6" t="str">
        <f>IF($A12="","",IF(ISNUMBER(MyIMCA!$C9),"","area missing → counted as 0"))</f>
        <v/>
      </c>
    </row>
    <row r="13" spans="1:6" x14ac:dyDescent="0.35">
      <c r="A13" s="6" t="str">
        <f>IF(OR(MyIMCA!$B10="",MyIMCA!$A10="total"),"",MyIMCA!$A10)</f>
        <v>10. Kuantan-Pekan</v>
      </c>
      <c r="B13" s="6" t="str">
        <f>IF($A13="","",MyIMCA!$B10)</f>
        <v>Pahang</v>
      </c>
      <c r="C13" s="17">
        <f>IF($A13="","",IF(ISNUMBER(MyIMCA!$C10),MyIMCA!$C10,0))</f>
        <v>752897.7</v>
      </c>
      <c r="D13" s="22">
        <f t="shared" si="0"/>
        <v>1</v>
      </c>
      <c r="E13" s="17">
        <f t="shared" si="1"/>
        <v>752897.7</v>
      </c>
      <c r="F13" s="6" t="str">
        <f>IF($A13="","",IF(ISNUMBER(MyIMCA!$C10),"","area missing → counted as 0"))</f>
        <v/>
      </c>
    </row>
    <row r="14" spans="1:6" x14ac:dyDescent="0.35">
      <c r="A14" s="6" t="str">
        <f>IF(OR(MyIMCA!$B11="",MyIMCA!$A11="total"),"",MyIMCA!$A11)</f>
        <v>3. Matang</v>
      </c>
      <c r="B14" s="6" t="str">
        <f>IF($A14="","",MyIMCA!$B11)</f>
        <v>Perak</v>
      </c>
      <c r="C14" s="17">
        <f>IF($A14="","",IF(ISNUMBER(MyIMCA!$C11),MyIMCA!$C11,0))</f>
        <v>336137</v>
      </c>
      <c r="D14" s="22">
        <f t="shared" si="0"/>
        <v>1</v>
      </c>
      <c r="E14" s="17">
        <f t="shared" si="1"/>
        <v>336137</v>
      </c>
      <c r="F14" s="6" t="str">
        <f>IF($A14="","",IF(ISNUMBER(MyIMCA!$C11),"","area missing → counted as 0"))</f>
        <v/>
      </c>
    </row>
    <row r="15" spans="1:6" x14ac:dyDescent="0.35">
      <c r="A15" s="6" t="str">
        <f>IF(OR(MyIMCA!$B12="",MyIMCA!$A12="total"),"",MyIMCA!$A12)</f>
        <v>4. Pulau Jarak-Segari</v>
      </c>
      <c r="B15" s="6" t="str">
        <f>IF($A15="","",MyIMCA!$B12)</f>
        <v>Perak</v>
      </c>
      <c r="C15" s="17">
        <f>IF($A15="","",IF(ISNUMBER(MyIMCA!$C12),MyIMCA!$C12,0))</f>
        <v>362199.6</v>
      </c>
      <c r="D15" s="22">
        <f t="shared" si="0"/>
        <v>1</v>
      </c>
      <c r="E15" s="17">
        <f t="shared" si="1"/>
        <v>362199.6</v>
      </c>
      <c r="F15" s="6" t="str">
        <f>IF($A15="","",IF(ISNUMBER(MyIMCA!$C12),"","area missing → counted as 0"))</f>
        <v/>
      </c>
    </row>
    <row r="16" spans="1:6" x14ac:dyDescent="0.35">
      <c r="A16" s="6" t="str">
        <f>IF(OR(MyIMCA!$B13="",MyIMCA!$A13="total"),"",MyIMCA!$A13)</f>
        <v>16. Layang-Layang</v>
      </c>
      <c r="B16" s="6" t="str">
        <f>IF($A16="","",MyIMCA!$B13)</f>
        <v>Sabah</v>
      </c>
      <c r="C16" s="17">
        <f>IF($A16="","",IF(ISNUMBER(MyIMCA!$C13),MyIMCA!$C13,0))</f>
        <v>4220974.0999999996</v>
      </c>
      <c r="D16" s="22">
        <f t="shared" si="0"/>
        <v>1</v>
      </c>
      <c r="E16" s="17">
        <f t="shared" si="1"/>
        <v>4220974.0999999996</v>
      </c>
      <c r="F16" s="6" t="str">
        <f>IF($A16="","",IF(ISNUMBER(MyIMCA!$C13),"","area missing → counted as 0"))</f>
        <v/>
      </c>
    </row>
    <row r="17" spans="1:6" x14ac:dyDescent="0.35">
      <c r="A17" s="6" t="str">
        <f>IF(OR(MyIMCA!$B14="",MyIMCA!$A14="total"),"",MyIMCA!$A14)</f>
        <v>18. Pulau Tiga</v>
      </c>
      <c r="B17" s="6" t="str">
        <f>IF($A17="","",MyIMCA!$B14)</f>
        <v>Sabah</v>
      </c>
      <c r="C17" s="17">
        <f>IF($A17="","",IF(ISNUMBER(MyIMCA!$C14),MyIMCA!$C14,0))</f>
        <v>15730.7</v>
      </c>
      <c r="D17" s="22">
        <f t="shared" si="0"/>
        <v>1</v>
      </c>
      <c r="E17" s="17">
        <f t="shared" si="1"/>
        <v>15730.7</v>
      </c>
      <c r="F17" s="6" t="str">
        <f>IF($A17="","",IF(ISNUMBER(MyIMCA!$C14),"","area missing → counted as 0"))</f>
        <v/>
      </c>
    </row>
    <row r="18" spans="1:6" x14ac:dyDescent="0.35">
      <c r="A18" s="6" t="str">
        <f>IF(OR(MyIMCA!$B15="",MyIMCA!$A15="total"),"",MyIMCA!$A15)</f>
        <v>19. Tunku Abdul Rahman</v>
      </c>
      <c r="B18" s="6" t="str">
        <f>IF($A18="","",MyIMCA!$B15)</f>
        <v>Sabah</v>
      </c>
      <c r="C18" s="17">
        <f>IF($A18="","",IF(ISNUMBER(MyIMCA!$C15),MyIMCA!$C15,0))</f>
        <v>3712.5</v>
      </c>
      <c r="D18" s="22">
        <f t="shared" si="0"/>
        <v>1</v>
      </c>
      <c r="E18" s="17">
        <f t="shared" si="1"/>
        <v>3712.5</v>
      </c>
      <c r="F18" s="6" t="str">
        <f>IF($A18="","",IF(ISNUMBER(MyIMCA!$C15),"","area missing → counted as 0"))</f>
        <v/>
      </c>
    </row>
    <row r="19" spans="1:6" x14ac:dyDescent="0.35">
      <c r="A19" s="6" t="str">
        <f>IF(OR(MyIMCA!$B16="",MyIMCA!$A16="total"),"",MyIMCA!$A16)</f>
        <v>20. Mantanani</v>
      </c>
      <c r="B19" s="6" t="str">
        <f>IF($A19="","",MyIMCA!$B16)</f>
        <v>Sabah</v>
      </c>
      <c r="C19" s="17">
        <f>IF($A19="","",IF(ISNUMBER(MyIMCA!$C16),MyIMCA!$C16,0))</f>
        <v>347543.2</v>
      </c>
      <c r="D19" s="22">
        <f t="shared" si="0"/>
        <v>1</v>
      </c>
      <c r="E19" s="17">
        <f t="shared" si="1"/>
        <v>347543.2</v>
      </c>
      <c r="F19" s="6" t="str">
        <f>IF($A19="","",IF(ISNUMBER(MyIMCA!$C16),"","area missing → counted as 0"))</f>
        <v/>
      </c>
    </row>
    <row r="20" spans="1:6" x14ac:dyDescent="0.35">
      <c r="A20" s="6" t="str">
        <f>IF(OR(MyIMCA!$B17="",MyIMCA!$A17="total"),"",MyIMCA!$A17)</f>
        <v>21. Tun Mustapha</v>
      </c>
      <c r="B20" s="6" t="str">
        <f>IF($A20="","",MyIMCA!$B17)</f>
        <v>Sabah</v>
      </c>
      <c r="C20" s="17">
        <f>IF($A20="","",IF(ISNUMBER(MyIMCA!$C17),MyIMCA!$C17,0))</f>
        <v>957242.7</v>
      </c>
      <c r="D20" s="22">
        <f t="shared" si="0"/>
        <v>1</v>
      </c>
      <c r="E20" s="17">
        <f t="shared" si="1"/>
        <v>957242.7</v>
      </c>
      <c r="F20" s="6" t="str">
        <f>IF($A20="","",IF(ISNUMBER(MyIMCA!$C17),"","area missing → counted as 0"))</f>
        <v/>
      </c>
    </row>
    <row r="21" spans="1:6" x14ac:dyDescent="0.35">
      <c r="A21" s="6" t="str">
        <f>IF(OR(MyIMCA!$B18="",MyIMCA!$A18="total"),"",MyIMCA!$A18)</f>
        <v>22. Jambongan-SIMCA-Labuk Bay</v>
      </c>
      <c r="B21" s="6" t="str">
        <f>IF($A21="","",MyIMCA!$B18)</f>
        <v>Sabah</v>
      </c>
      <c r="C21" s="17">
        <f>IF($A21="","",IF(ISNUMBER(MyIMCA!$C18),MyIMCA!$C18,0))</f>
        <v>421447.7</v>
      </c>
      <c r="D21" s="22">
        <f t="shared" si="0"/>
        <v>1</v>
      </c>
      <c r="E21" s="17">
        <f t="shared" si="1"/>
        <v>421447.7</v>
      </c>
      <c r="F21" s="6" t="str">
        <f>IF($A21="","",IF(ISNUMBER(MyIMCA!$C18),"","area missing → counted as 0"))</f>
        <v/>
      </c>
    </row>
    <row r="22" spans="1:6" x14ac:dyDescent="0.35">
      <c r="A22" s="6" t="str">
        <f>IF(OR(MyIMCA!$B19="",MyIMCA!$A19="total"),"",MyIMCA!$A19)</f>
        <v>23. Pulau Tambisan-Lower Kinabatangan</v>
      </c>
      <c r="B22" s="6" t="str">
        <f>IF($A22="","",MyIMCA!$B19)</f>
        <v>Sabah</v>
      </c>
      <c r="C22" s="17">
        <f>IF($A22="","",IF(ISNUMBER(MyIMCA!$C19),MyIMCA!$C19,0))</f>
        <v>4939</v>
      </c>
      <c r="D22" s="22">
        <f t="shared" si="0"/>
        <v>1</v>
      </c>
      <c r="E22" s="17">
        <f t="shared" si="1"/>
        <v>4939</v>
      </c>
      <c r="F22" s="6" t="str">
        <f>IF($A22="","",IF(ISNUMBER(MyIMCA!$C19),"","area missing → counted as 0"))</f>
        <v/>
      </c>
    </row>
    <row r="23" spans="1:6" x14ac:dyDescent="0.35">
      <c r="A23" s="6" t="str">
        <f>IF(OR(MyIMCA!$B20="",MyIMCA!$A20="total"),"",MyIMCA!$A20)</f>
        <v>24. Teluk Darvel</v>
      </c>
      <c r="B23" s="6" t="str">
        <f>IF($A23="","",MyIMCA!$B20)</f>
        <v>Sabah</v>
      </c>
      <c r="C23" s="17">
        <f>IF($A23="","",IF(ISNUMBER(MyIMCA!$C20),MyIMCA!$C20,0))</f>
        <v>860940.2</v>
      </c>
      <c r="D23" s="22">
        <f t="shared" si="0"/>
        <v>1</v>
      </c>
      <c r="E23" s="17">
        <f t="shared" si="1"/>
        <v>860940.2</v>
      </c>
      <c r="F23" s="6" t="str">
        <f>IF($A23="","",IF(ISNUMBER(MyIMCA!$C20),"","area missing → counted as 0"))</f>
        <v/>
      </c>
    </row>
    <row r="24" spans="1:6" x14ac:dyDescent="0.35">
      <c r="A24" s="6" t="str">
        <f>IF(OR(MyIMCA!$B21="",MyIMCA!$A21="total"),"",MyIMCA!$A21)</f>
        <v>17. Teluk Brunei – Sabah/Labuan</v>
      </c>
      <c r="B24" s="6" t="str">
        <f>IF($A24="","",MyIMCA!$B21)</f>
        <v>Sabah/Labuan</v>
      </c>
      <c r="C24" s="17">
        <f>IF($A24="","",IF(ISNUMBER(MyIMCA!$C21),MyIMCA!$C21,0))</f>
        <v>174110.7</v>
      </c>
      <c r="D24" s="22">
        <f t="shared" si="0"/>
        <v>2</v>
      </c>
      <c r="E24" s="17">
        <f t="shared" si="1"/>
        <v>87055.35</v>
      </c>
      <c r="F24" s="6" t="str">
        <f>IF($A24="","",IF(ISNUMBER(MyIMCA!$C21),"","area missing → counted as 0"))</f>
        <v/>
      </c>
    </row>
    <row r="25" spans="1:6" x14ac:dyDescent="0.35">
      <c r="A25" s="6" t="str">
        <f>IF(OR(MyIMCA!$B22="",MyIMCA!$A22="total"),"",MyIMCA!$A22)</f>
        <v>12. Tanjung Datu-Maludam</v>
      </c>
      <c r="B25" s="6" t="str">
        <f>IF($A25="","",MyIMCA!$B22)</f>
        <v>Sarawak</v>
      </c>
      <c r="C25" s="17">
        <f>IF($A25="","",IF(ISNUMBER(MyIMCA!$C22),MyIMCA!$C22,0))</f>
        <v>524744.1</v>
      </c>
      <c r="D25" s="22">
        <f t="shared" si="0"/>
        <v>1</v>
      </c>
      <c r="E25" s="17">
        <f t="shared" si="1"/>
        <v>524744.1</v>
      </c>
      <c r="F25" s="6" t="str">
        <f>IF($A25="","",IF(ISNUMBER(MyIMCA!$C22),"","area missing → counted as 0"))</f>
        <v/>
      </c>
    </row>
    <row r="26" spans="1:6" x14ac:dyDescent="0.35">
      <c r="A26" s="6" t="str">
        <f>IF(OR(MyIMCA!$B23="",MyIMCA!$A23="total"),"",MyIMCA!$A23)</f>
        <v>13. Rajang</v>
      </c>
      <c r="B26" s="6" t="str">
        <f>IF($A26="","",MyIMCA!$B23)</f>
        <v>Sarawak</v>
      </c>
      <c r="C26" s="17">
        <f>IF($A26="","",IF(ISNUMBER(MyIMCA!$C23),MyIMCA!$C23,0))</f>
        <v>788504.9</v>
      </c>
      <c r="D26" s="22">
        <f t="shared" si="0"/>
        <v>1</v>
      </c>
      <c r="E26" s="17">
        <f t="shared" si="1"/>
        <v>788504.9</v>
      </c>
      <c r="F26" s="6" t="str">
        <f>IF($A26="","",IF(ISNUMBER(MyIMCA!$C23),"","area missing → counted as 0"))</f>
        <v/>
      </c>
    </row>
    <row r="27" spans="1:6" x14ac:dyDescent="0.35">
      <c r="A27" s="6" t="str">
        <f>IF(OR(MyIMCA!$B24="",MyIMCA!$A24="total"),"",MyIMCA!$A24)</f>
        <v>14. Similajau</v>
      </c>
      <c r="B27" s="6" t="str">
        <f>IF($A27="","",MyIMCA!$B24)</f>
        <v>Sarawak</v>
      </c>
      <c r="C27" s="17">
        <f>IF($A27="","",IF(ISNUMBER(MyIMCA!$C24),MyIMCA!$C24,0))</f>
        <v>31997</v>
      </c>
      <c r="D27" s="22">
        <f t="shared" si="0"/>
        <v>1</v>
      </c>
      <c r="E27" s="17">
        <f t="shared" si="1"/>
        <v>31997</v>
      </c>
      <c r="F27" s="6" t="str">
        <f>IF($A27="","",IF(ISNUMBER(MyIMCA!$C24),"","area missing → counted as 0"))</f>
        <v/>
      </c>
    </row>
    <row r="28" spans="1:6" x14ac:dyDescent="0.35">
      <c r="A28" s="6" t="str">
        <f>IF(OR(MyIMCA!$B25="",MyIMCA!$A25="total"),"",MyIMCA!$A25)</f>
        <v>15. Beting Patinggi Ali</v>
      </c>
      <c r="B28" s="6" t="str">
        <f>IF($A28="","",MyIMCA!$B25)</f>
        <v>Sarawak</v>
      </c>
      <c r="C28" s="17">
        <f>IF($A28="","",IF(ISNUMBER(MyIMCA!$C25),MyIMCA!$C25,0))</f>
        <v>1025791.7</v>
      </c>
      <c r="D28" s="22">
        <f t="shared" si="0"/>
        <v>1</v>
      </c>
      <c r="E28" s="17">
        <f t="shared" si="1"/>
        <v>1025791.7</v>
      </c>
      <c r="F28" s="6" t="str">
        <f>IF($A28="","",IF(ISNUMBER(MyIMCA!$C25),"","area missing → counted as 0"))</f>
        <v/>
      </c>
    </row>
    <row r="29" spans="1:6" x14ac:dyDescent="0.35">
      <c r="A29" s="6" t="str">
        <f>IF(OR(MyIMCA!$B26="",MyIMCA!$A26="total"),"",MyIMCA!$A26)</f>
        <v>15. Miri-Sibuti</v>
      </c>
      <c r="B29" s="6" t="str">
        <f>IF($A29="","",MyIMCA!$B26)</f>
        <v>Sarawak</v>
      </c>
      <c r="C29" s="17">
        <f>IF($A29="","",IF(ISNUMBER(MyIMCA!$C26),MyIMCA!$C26,0))</f>
        <v>186930</v>
      </c>
      <c r="D29" s="22">
        <f t="shared" si="0"/>
        <v>1</v>
      </c>
      <c r="E29" s="17">
        <f t="shared" si="1"/>
        <v>186930</v>
      </c>
      <c r="F29" s="6" t="str">
        <f>IF($A29="","",IF(ISNUMBER(MyIMCA!$C26),"","area missing → counted as 0"))</f>
        <v/>
      </c>
    </row>
    <row r="30" spans="1:6" x14ac:dyDescent="0.35">
      <c r="A30" s="6" t="str">
        <f>IF(OR(MyIMCA!$B27="",MyIMCA!$A27="total"),"",MyIMCA!$A27)</f>
        <v>17. Teluk Brunei – Sarawak</v>
      </c>
      <c r="B30" s="6" t="str">
        <f>IF($A30="","",MyIMCA!$B27)</f>
        <v>Sarawak</v>
      </c>
      <c r="C30" s="17">
        <f>IF($A30="","",IF(ISNUMBER(MyIMCA!$C27),MyIMCA!$C27,0))</f>
        <v>47797.4</v>
      </c>
      <c r="D30" s="22">
        <f t="shared" si="0"/>
        <v>1</v>
      </c>
      <c r="E30" s="17">
        <f t="shared" si="1"/>
        <v>47797.4</v>
      </c>
      <c r="F30" s="6" t="str">
        <f>IF($A30="","",IF(ISNUMBER(MyIMCA!$C27),"","area missing → counted as 0"))</f>
        <v/>
      </c>
    </row>
    <row r="31" spans="1:6" x14ac:dyDescent="0.35">
      <c r="A31" s="6" t="str">
        <f>IF(OR(MyIMCA!$B28="",MyIMCA!$A28="total"),"",MyIMCA!$A28)</f>
        <v>5. Kepulauan Klang</v>
      </c>
      <c r="B31" s="6" t="str">
        <f>IF($A31="","",MyIMCA!$B28)</f>
        <v>Selangor</v>
      </c>
      <c r="C31" s="17">
        <f>IF($A31="","",IF(ISNUMBER(MyIMCA!$C28),MyIMCA!$C28,0))</f>
        <v>25851.4</v>
      </c>
      <c r="D31" s="22">
        <f t="shared" si="0"/>
        <v>1</v>
      </c>
      <c r="E31" s="17">
        <f t="shared" si="1"/>
        <v>25851.4</v>
      </c>
      <c r="F31" s="6" t="str">
        <f>IF($A31="","",IF(ISNUMBER(MyIMCA!$C28),"","area missing → counted as 0"))</f>
        <v/>
      </c>
    </row>
    <row r="32" spans="1:6" x14ac:dyDescent="0.35">
      <c r="A32" s="6" t="str">
        <f>IF(OR(MyIMCA!$B29="",MyIMCA!$A29="total"),"",MyIMCA!$A29)</f>
        <v>5. Jeram</v>
      </c>
      <c r="B32" s="6" t="str">
        <f>IF($A32="","",MyIMCA!$B29)</f>
        <v>Selangor</v>
      </c>
      <c r="C32" s="17">
        <f>IF($A32="","",IF(ISNUMBER(MyIMCA!$C29),MyIMCA!$C29,0))</f>
        <v>5210.8</v>
      </c>
      <c r="D32" s="22">
        <f t="shared" si="0"/>
        <v>1</v>
      </c>
      <c r="E32" s="17">
        <f t="shared" si="1"/>
        <v>5210.8</v>
      </c>
      <c r="F32" s="6" t="str">
        <f>IF($A32="","",IF(ISNUMBER(MyIMCA!$C29),"","area missing → counted as 0"))</f>
        <v/>
      </c>
    </row>
    <row r="33" spans="1:6" x14ac:dyDescent="0.35">
      <c r="A33" s="6" t="str">
        <f>IF(OR(MyIMCA!$B30="",MyIMCA!$A30="total"),"",MyIMCA!$A30)</f>
        <v>11. Setiu Yu</v>
      </c>
      <c r="B33" s="6" t="str">
        <f>IF($A33="","",MyIMCA!$B30)</f>
        <v>Terengganu</v>
      </c>
      <c r="C33" s="17">
        <f>IF($A33="","",IF(ISNUMBER(MyIMCA!$C30),MyIMCA!$C30,0))</f>
        <v>275686.8</v>
      </c>
      <c r="D33" s="22">
        <f t="shared" si="0"/>
        <v>1</v>
      </c>
      <c r="E33" s="17">
        <f t="shared" si="1"/>
        <v>275686.8</v>
      </c>
      <c r="F33" s="6" t="str">
        <f>IF($A33="","",IF(ISNUMBER(MyIMCA!$C30),"","area missing → counted as 0"))</f>
        <v/>
      </c>
    </row>
    <row r="34" spans="1:6" x14ac:dyDescent="0.35">
      <c r="A34" s="6" t="str">
        <f>IF(OR(MyIMCA!$B31="",MyIMCA!$A31="total"),"",MyIMCA!$A31)</f>
        <v>11. Tenggol</v>
      </c>
      <c r="B34" s="6" t="str">
        <f>IF($A34="","",MyIMCA!$B31)</f>
        <v>Terengganu</v>
      </c>
      <c r="C34" s="17">
        <f>IF($A34="","",IF(ISNUMBER(MyIMCA!$C31),MyIMCA!$C31,0))</f>
        <v>15903.4</v>
      </c>
      <c r="D34" s="22">
        <f t="shared" si="0"/>
        <v>1</v>
      </c>
      <c r="E34" s="17">
        <f t="shared" si="1"/>
        <v>15903.4</v>
      </c>
      <c r="F34" s="6" t="str">
        <f>IF($A34="","",IF(ISNUMBER(MyIMCA!$C31),"","area missing → counted as 0"))</f>
        <v/>
      </c>
    </row>
    <row r="35" spans="1:6" x14ac:dyDescent="0.35">
      <c r="A35" s="6" t="str">
        <f>IF(OR(MyIMCA!$B32="",MyIMCA!$A32="total"),"",MyIMCA!$A32)</f>
        <v/>
      </c>
      <c r="B35" s="6" t="str">
        <f>IF($A35="","",MyIMCA!$B32)</f>
        <v/>
      </c>
      <c r="C35" s="17" t="str">
        <f>IF($A35="","",IF(ISNUMBER(MyIMCA!$C32),MyIMCA!$C32,0))</f>
        <v/>
      </c>
      <c r="D35" s="22">
        <f t="shared" si="0"/>
        <v>0</v>
      </c>
      <c r="E35" s="17">
        <f t="shared" si="1"/>
        <v>0</v>
      </c>
      <c r="F35" s="6" t="str">
        <f>IF($A35="","",IF(ISNUMBER(MyIMCA!$C32),"","area missing → counted as 0"))</f>
        <v/>
      </c>
    </row>
    <row r="36" spans="1:6" x14ac:dyDescent="0.35">
      <c r="A36" s="6" t="str">
        <f>IF(OR(MyIMCA!$B33="",MyIMCA!$A33="total"),"",MyIMCA!$A33)</f>
        <v/>
      </c>
      <c r="B36" s="6" t="str">
        <f>IF($A36="","",MyIMCA!$B33)</f>
        <v/>
      </c>
      <c r="C36" s="17" t="str">
        <f>IF($A36="","",IF(ISNUMBER(MyIMCA!$C33),MyIMCA!$C33,0))</f>
        <v/>
      </c>
      <c r="D36" s="22">
        <f t="shared" si="0"/>
        <v>0</v>
      </c>
      <c r="E36" s="17">
        <f t="shared" si="1"/>
        <v>0</v>
      </c>
      <c r="F36" s="6" t="str">
        <f>IF($A36="","",IF(ISNUMBER(MyIMCA!$C33),"","area missing → counted as 0"))</f>
        <v/>
      </c>
    </row>
    <row r="37" spans="1:6" x14ac:dyDescent="0.35">
      <c r="A37" s="6" t="str">
        <f>IF(OR(MyIMCA!$B34="",MyIMCA!$A34="total"),"",MyIMCA!$A34)</f>
        <v/>
      </c>
      <c r="B37" s="6" t="str">
        <f>IF($A37="","",MyIMCA!$B34)</f>
        <v/>
      </c>
      <c r="C37" s="17" t="str">
        <f>IF($A37="","",IF(ISNUMBER(MyIMCA!$C34),MyIMCA!$C34,0))</f>
        <v/>
      </c>
      <c r="D37" s="22">
        <f t="shared" si="0"/>
        <v>0</v>
      </c>
      <c r="E37" s="17">
        <f t="shared" si="1"/>
        <v>0</v>
      </c>
      <c r="F37" s="6" t="str">
        <f>IF($A37="","",IF(ISNUMBER(MyIMCA!$C34),"","area missing → counted as 0"))</f>
        <v/>
      </c>
    </row>
    <row r="38" spans="1:6" x14ac:dyDescent="0.35">
      <c r="A38" s="6" t="str">
        <f>IF(OR(MyIMCA!$B35="",MyIMCA!$A35="total"),"",MyIMCA!$A35)</f>
        <v/>
      </c>
      <c r="B38" s="6" t="str">
        <f>IF($A38="","",MyIMCA!$B35)</f>
        <v/>
      </c>
      <c r="C38" s="17" t="str">
        <f>IF($A38="","",IF(ISNUMBER(MyIMCA!$C35),MyIMCA!$C35,0))</f>
        <v/>
      </c>
      <c r="D38" s="22">
        <f t="shared" ref="D38:D63" si="2">IF($A38="",0,LEN($B38)-LEN(SUBSTITUTE($B38,"/",""))+1)</f>
        <v>0</v>
      </c>
      <c r="E38" s="17">
        <f t="shared" ref="E38:E63" si="3">IF($A38="",0,$C38/$D38)</f>
        <v>0</v>
      </c>
      <c r="F38" s="6" t="str">
        <f>IF($A38="","",IF(ISNUMBER(MyIMCA!$C35),"","area missing → counted as 0"))</f>
        <v/>
      </c>
    </row>
    <row r="39" spans="1:6" x14ac:dyDescent="0.35">
      <c r="A39" s="6" t="str">
        <f>IF(OR(MyIMCA!$B36="",MyIMCA!$A36="total"),"",MyIMCA!$A36)</f>
        <v/>
      </c>
      <c r="B39" s="6" t="str">
        <f>IF($A39="","",MyIMCA!$B36)</f>
        <v/>
      </c>
      <c r="C39" s="17" t="str">
        <f>IF($A39="","",IF(ISNUMBER(MyIMCA!$C36),MyIMCA!$C36,0))</f>
        <v/>
      </c>
      <c r="D39" s="22">
        <f t="shared" si="2"/>
        <v>0</v>
      </c>
      <c r="E39" s="17">
        <f t="shared" si="3"/>
        <v>0</v>
      </c>
      <c r="F39" s="6" t="str">
        <f>IF($A39="","",IF(ISNUMBER(MyIMCA!$C36),"","area missing → counted as 0"))</f>
        <v/>
      </c>
    </row>
    <row r="40" spans="1:6" x14ac:dyDescent="0.35">
      <c r="A40" s="6" t="str">
        <f>IF(OR(MyIMCA!$B37="",MyIMCA!$A37="total"),"",MyIMCA!$A37)</f>
        <v/>
      </c>
      <c r="B40" s="6" t="str">
        <f>IF($A40="","",MyIMCA!$B37)</f>
        <v/>
      </c>
      <c r="C40" s="17" t="str">
        <f>IF($A40="","",IF(ISNUMBER(MyIMCA!$C37),MyIMCA!$C37,0))</f>
        <v/>
      </c>
      <c r="D40" s="22">
        <f t="shared" si="2"/>
        <v>0</v>
      </c>
      <c r="E40" s="17">
        <f t="shared" si="3"/>
        <v>0</v>
      </c>
      <c r="F40" s="6" t="str">
        <f>IF($A40="","",IF(ISNUMBER(MyIMCA!$C37),"","area missing → counted as 0"))</f>
        <v/>
      </c>
    </row>
    <row r="41" spans="1:6" x14ac:dyDescent="0.35">
      <c r="A41" s="6" t="str">
        <f>IF(OR(MyIMCA!$B38="",MyIMCA!$A38="total"),"",MyIMCA!$A38)</f>
        <v/>
      </c>
      <c r="B41" s="6" t="str">
        <f>IF($A41="","",MyIMCA!$B38)</f>
        <v/>
      </c>
      <c r="C41" s="17" t="str">
        <f>IF($A41="","",IF(ISNUMBER(MyIMCA!$C38),MyIMCA!$C38,0))</f>
        <v/>
      </c>
      <c r="D41" s="22">
        <f t="shared" si="2"/>
        <v>0</v>
      </c>
      <c r="E41" s="17">
        <f t="shared" si="3"/>
        <v>0</v>
      </c>
      <c r="F41" s="6" t="str">
        <f>IF($A41="","",IF(ISNUMBER(MyIMCA!$C38),"","area missing → counted as 0"))</f>
        <v/>
      </c>
    </row>
    <row r="42" spans="1:6" x14ac:dyDescent="0.35">
      <c r="A42" s="6" t="str">
        <f>IF(OR(MyIMCA!$B39="",MyIMCA!$A39="total"),"",MyIMCA!$A39)</f>
        <v/>
      </c>
      <c r="B42" s="6" t="str">
        <f>IF($A42="","",MyIMCA!$B39)</f>
        <v/>
      </c>
      <c r="C42" s="17" t="str">
        <f>IF($A42="","",IF(ISNUMBER(MyIMCA!$C39),MyIMCA!$C39,0))</f>
        <v/>
      </c>
      <c r="D42" s="22">
        <f t="shared" si="2"/>
        <v>0</v>
      </c>
      <c r="E42" s="17">
        <f t="shared" si="3"/>
        <v>0</v>
      </c>
      <c r="F42" s="6" t="str">
        <f>IF($A42="","",IF(ISNUMBER(MyIMCA!$C39),"","area missing → counted as 0"))</f>
        <v/>
      </c>
    </row>
    <row r="43" spans="1:6" x14ac:dyDescent="0.35">
      <c r="A43" s="6" t="str">
        <f>IF(OR(MyIMCA!$B40="",MyIMCA!$A40="total"),"",MyIMCA!$A40)</f>
        <v/>
      </c>
      <c r="B43" s="6" t="str">
        <f>IF($A43="","",MyIMCA!$B40)</f>
        <v/>
      </c>
      <c r="C43" s="17" t="str">
        <f>IF($A43="","",IF(ISNUMBER(MyIMCA!$C40),MyIMCA!$C40,0))</f>
        <v/>
      </c>
      <c r="D43" s="22">
        <f t="shared" si="2"/>
        <v>0</v>
      </c>
      <c r="E43" s="17">
        <f t="shared" si="3"/>
        <v>0</v>
      </c>
      <c r="F43" s="6" t="str">
        <f>IF($A43="","",IF(ISNUMBER(MyIMCA!$C40),"","area missing → counted as 0"))</f>
        <v/>
      </c>
    </row>
    <row r="44" spans="1:6" x14ac:dyDescent="0.35">
      <c r="A44" s="6" t="str">
        <f>IF(OR(MyIMCA!$B41="",MyIMCA!$A41="total"),"",MyIMCA!$A41)</f>
        <v/>
      </c>
      <c r="B44" s="6" t="str">
        <f>IF($A44="","",MyIMCA!$B41)</f>
        <v/>
      </c>
      <c r="C44" s="17" t="str">
        <f>IF($A44="","",IF(ISNUMBER(MyIMCA!$C41),MyIMCA!$C41,0))</f>
        <v/>
      </c>
      <c r="D44" s="22">
        <f t="shared" si="2"/>
        <v>0</v>
      </c>
      <c r="E44" s="17">
        <f t="shared" si="3"/>
        <v>0</v>
      </c>
      <c r="F44" s="6" t="str">
        <f>IF($A44="","",IF(ISNUMBER(MyIMCA!$C41),"","area missing → counted as 0"))</f>
        <v/>
      </c>
    </row>
    <row r="45" spans="1:6" x14ac:dyDescent="0.35">
      <c r="A45" s="6" t="str">
        <f>IF(OR(MyIMCA!$B42="",MyIMCA!$A42="total"),"",MyIMCA!$A42)</f>
        <v/>
      </c>
      <c r="B45" s="6" t="str">
        <f>IF($A45="","",MyIMCA!$B42)</f>
        <v/>
      </c>
      <c r="C45" s="17" t="str">
        <f>IF($A45="","",IF(ISNUMBER(MyIMCA!$C42),MyIMCA!$C42,0))</f>
        <v/>
      </c>
      <c r="D45" s="22">
        <f t="shared" si="2"/>
        <v>0</v>
      </c>
      <c r="E45" s="17">
        <f t="shared" si="3"/>
        <v>0</v>
      </c>
      <c r="F45" s="6" t="str">
        <f>IF($A45="","",IF(ISNUMBER(MyIMCA!$C42),"","area missing → counted as 0"))</f>
        <v/>
      </c>
    </row>
    <row r="46" spans="1:6" x14ac:dyDescent="0.35">
      <c r="A46" s="6" t="str">
        <f>IF(OR(MyIMCA!$B43="",MyIMCA!$A43="total"),"",MyIMCA!$A43)</f>
        <v/>
      </c>
      <c r="B46" s="6" t="str">
        <f>IF($A46="","",MyIMCA!$B43)</f>
        <v/>
      </c>
      <c r="C46" s="17" t="str">
        <f>IF($A46="","",IF(ISNUMBER(MyIMCA!$C43),MyIMCA!$C43,0))</f>
        <v/>
      </c>
      <c r="D46" s="22">
        <f t="shared" si="2"/>
        <v>0</v>
      </c>
      <c r="E46" s="17">
        <f t="shared" si="3"/>
        <v>0</v>
      </c>
      <c r="F46" s="6" t="str">
        <f>IF($A46="","",IF(ISNUMBER(MyIMCA!$C43),"","area missing → counted as 0"))</f>
        <v/>
      </c>
    </row>
    <row r="47" spans="1:6" x14ac:dyDescent="0.35">
      <c r="A47" s="6" t="str">
        <f>IF(OR(MyIMCA!$B44="",MyIMCA!$A44="total"),"",MyIMCA!$A44)</f>
        <v/>
      </c>
      <c r="B47" s="6" t="str">
        <f>IF($A47="","",MyIMCA!$B44)</f>
        <v/>
      </c>
      <c r="C47" s="17" t="str">
        <f>IF($A47="","",IF(ISNUMBER(MyIMCA!$C44),MyIMCA!$C44,0))</f>
        <v/>
      </c>
      <c r="D47" s="22">
        <f t="shared" si="2"/>
        <v>0</v>
      </c>
      <c r="E47" s="17">
        <f t="shared" si="3"/>
        <v>0</v>
      </c>
      <c r="F47" s="6" t="str">
        <f>IF($A47="","",IF(ISNUMBER(MyIMCA!$C44),"","area missing → counted as 0"))</f>
        <v/>
      </c>
    </row>
    <row r="48" spans="1:6" x14ac:dyDescent="0.35">
      <c r="A48" s="6" t="str">
        <f>IF(OR(MyIMCA!$B45="",MyIMCA!$A45="total"),"",MyIMCA!$A45)</f>
        <v/>
      </c>
      <c r="B48" s="6" t="str">
        <f>IF($A48="","",MyIMCA!$B45)</f>
        <v/>
      </c>
      <c r="C48" s="17" t="str">
        <f>IF($A48="","",IF(ISNUMBER(MyIMCA!$C45),MyIMCA!$C45,0))</f>
        <v/>
      </c>
      <c r="D48" s="22">
        <f t="shared" si="2"/>
        <v>0</v>
      </c>
      <c r="E48" s="17">
        <f t="shared" si="3"/>
        <v>0</v>
      </c>
      <c r="F48" s="6" t="str">
        <f>IF($A48="","",IF(ISNUMBER(MyIMCA!$C45),"","area missing → counted as 0"))</f>
        <v/>
      </c>
    </row>
    <row r="49" spans="1:6" x14ac:dyDescent="0.35">
      <c r="A49" s="6" t="str">
        <f>IF(OR(MyIMCA!$B46="",MyIMCA!$A46="total"),"",MyIMCA!$A46)</f>
        <v/>
      </c>
      <c r="B49" s="6" t="str">
        <f>IF($A49="","",MyIMCA!$B46)</f>
        <v/>
      </c>
      <c r="C49" s="17" t="str">
        <f>IF($A49="","",IF(ISNUMBER(MyIMCA!$C46),MyIMCA!$C46,0))</f>
        <v/>
      </c>
      <c r="D49" s="22">
        <f t="shared" si="2"/>
        <v>0</v>
      </c>
      <c r="E49" s="17">
        <f t="shared" si="3"/>
        <v>0</v>
      </c>
      <c r="F49" s="6" t="str">
        <f>IF($A49="","",IF(ISNUMBER(MyIMCA!$C46),"","area missing → counted as 0"))</f>
        <v/>
      </c>
    </row>
    <row r="50" spans="1:6" x14ac:dyDescent="0.35">
      <c r="A50" s="6" t="str">
        <f>IF(OR(MyIMCA!$B47="",MyIMCA!$A47="total"),"",MyIMCA!$A47)</f>
        <v/>
      </c>
      <c r="B50" s="6" t="str">
        <f>IF($A50="","",MyIMCA!$B47)</f>
        <v/>
      </c>
      <c r="C50" s="17" t="str">
        <f>IF($A50="","",IF(ISNUMBER(MyIMCA!$C47),MyIMCA!$C47,0))</f>
        <v/>
      </c>
      <c r="D50" s="22">
        <f t="shared" si="2"/>
        <v>0</v>
      </c>
      <c r="E50" s="17">
        <f t="shared" si="3"/>
        <v>0</v>
      </c>
      <c r="F50" s="6" t="str">
        <f>IF($A50="","",IF(ISNUMBER(MyIMCA!$C47),"","area missing → counted as 0"))</f>
        <v/>
      </c>
    </row>
    <row r="51" spans="1:6" x14ac:dyDescent="0.35">
      <c r="A51" s="6" t="str">
        <f>IF(OR(MyIMCA!$B48="",MyIMCA!$A48="total"),"",MyIMCA!$A48)</f>
        <v/>
      </c>
      <c r="B51" s="6" t="str">
        <f>IF($A51="","",MyIMCA!$B48)</f>
        <v/>
      </c>
      <c r="C51" s="17" t="str">
        <f>IF($A51="","",IF(ISNUMBER(MyIMCA!$C48),MyIMCA!$C48,0))</f>
        <v/>
      </c>
      <c r="D51" s="22">
        <f t="shared" si="2"/>
        <v>0</v>
      </c>
      <c r="E51" s="17">
        <f t="shared" si="3"/>
        <v>0</v>
      </c>
      <c r="F51" s="6" t="str">
        <f>IF($A51="","",IF(ISNUMBER(MyIMCA!$C48),"","area missing → counted as 0"))</f>
        <v/>
      </c>
    </row>
    <row r="52" spans="1:6" x14ac:dyDescent="0.35">
      <c r="A52" s="6" t="str">
        <f>IF(OR(MyIMCA!$B49="",MyIMCA!$A49="total"),"",MyIMCA!$A49)</f>
        <v/>
      </c>
      <c r="B52" s="6" t="str">
        <f>IF($A52="","",MyIMCA!$B49)</f>
        <v/>
      </c>
      <c r="C52" s="17" t="str">
        <f>IF($A52="","",IF(ISNUMBER(MyIMCA!$C49),MyIMCA!$C49,0))</f>
        <v/>
      </c>
      <c r="D52" s="22">
        <f t="shared" si="2"/>
        <v>0</v>
      </c>
      <c r="E52" s="17">
        <f t="shared" si="3"/>
        <v>0</v>
      </c>
      <c r="F52" s="6" t="str">
        <f>IF($A52="","",IF(ISNUMBER(MyIMCA!$C49),"","area missing → counted as 0"))</f>
        <v/>
      </c>
    </row>
    <row r="53" spans="1:6" x14ac:dyDescent="0.35">
      <c r="A53" s="6" t="str">
        <f>IF(OR(MyIMCA!$B50="",MyIMCA!$A50="total"),"",MyIMCA!$A50)</f>
        <v/>
      </c>
      <c r="B53" s="6" t="str">
        <f>IF($A53="","",MyIMCA!$B50)</f>
        <v/>
      </c>
      <c r="C53" s="17" t="str">
        <f>IF($A53="","",IF(ISNUMBER(MyIMCA!$C50),MyIMCA!$C50,0))</f>
        <v/>
      </c>
      <c r="D53" s="22">
        <f t="shared" si="2"/>
        <v>0</v>
      </c>
      <c r="E53" s="17">
        <f t="shared" si="3"/>
        <v>0</v>
      </c>
      <c r="F53" s="6" t="str">
        <f>IF($A53="","",IF(ISNUMBER(MyIMCA!$C50),"","area missing → counted as 0"))</f>
        <v/>
      </c>
    </row>
    <row r="54" spans="1:6" x14ac:dyDescent="0.35">
      <c r="A54" s="6" t="str">
        <f>IF(OR(MyIMCA!$B51="",MyIMCA!$A51="total"),"",MyIMCA!$A51)</f>
        <v/>
      </c>
      <c r="B54" s="6" t="str">
        <f>IF($A54="","",MyIMCA!$B51)</f>
        <v/>
      </c>
      <c r="C54" s="17" t="str">
        <f>IF($A54="","",IF(ISNUMBER(MyIMCA!$C51),MyIMCA!$C51,0))</f>
        <v/>
      </c>
      <c r="D54" s="22">
        <f t="shared" si="2"/>
        <v>0</v>
      </c>
      <c r="E54" s="17">
        <f t="shared" si="3"/>
        <v>0</v>
      </c>
      <c r="F54" s="6" t="str">
        <f>IF($A54="","",IF(ISNUMBER(MyIMCA!$C51),"","area missing → counted as 0"))</f>
        <v/>
      </c>
    </row>
    <row r="55" spans="1:6" x14ac:dyDescent="0.35">
      <c r="A55" s="6" t="str">
        <f>IF(OR(MyIMCA!$B52="",MyIMCA!$A52="total"),"",MyIMCA!$A52)</f>
        <v/>
      </c>
      <c r="B55" s="6" t="str">
        <f>IF($A55="","",MyIMCA!$B52)</f>
        <v/>
      </c>
      <c r="C55" s="17" t="str">
        <f>IF($A55="","",IF(ISNUMBER(MyIMCA!$C52),MyIMCA!$C52,0))</f>
        <v/>
      </c>
      <c r="D55" s="22">
        <f t="shared" si="2"/>
        <v>0</v>
      </c>
      <c r="E55" s="17">
        <f t="shared" si="3"/>
        <v>0</v>
      </c>
      <c r="F55" s="6" t="str">
        <f>IF($A55="","",IF(ISNUMBER(MyIMCA!$C52),"","area missing → counted as 0"))</f>
        <v/>
      </c>
    </row>
    <row r="56" spans="1:6" x14ac:dyDescent="0.35">
      <c r="A56" s="6" t="str">
        <f>IF(OR(MyIMCA!$B53="",MyIMCA!$A53="total"),"",MyIMCA!$A53)</f>
        <v/>
      </c>
      <c r="B56" s="6" t="str">
        <f>IF($A56="","",MyIMCA!$B53)</f>
        <v/>
      </c>
      <c r="C56" s="17" t="str">
        <f>IF($A56="","",IF(ISNUMBER(MyIMCA!$C53),MyIMCA!$C53,0))</f>
        <v/>
      </c>
      <c r="D56" s="22">
        <f t="shared" si="2"/>
        <v>0</v>
      </c>
      <c r="E56" s="17">
        <f t="shared" si="3"/>
        <v>0</v>
      </c>
      <c r="F56" s="6" t="str">
        <f>IF($A56="","",IF(ISNUMBER(MyIMCA!$C53),"","area missing → counted as 0"))</f>
        <v/>
      </c>
    </row>
    <row r="57" spans="1:6" x14ac:dyDescent="0.35">
      <c r="A57" s="6" t="str">
        <f>IF(OR(MyIMCA!$B54="",MyIMCA!$A54="total"),"",MyIMCA!$A54)</f>
        <v/>
      </c>
      <c r="B57" s="6" t="str">
        <f>IF($A57="","",MyIMCA!$B54)</f>
        <v/>
      </c>
      <c r="C57" s="17" t="str">
        <f>IF($A57="","",IF(ISNUMBER(MyIMCA!$C54),MyIMCA!$C54,0))</f>
        <v/>
      </c>
      <c r="D57" s="22">
        <f t="shared" si="2"/>
        <v>0</v>
      </c>
      <c r="E57" s="17">
        <f t="shared" si="3"/>
        <v>0</v>
      </c>
      <c r="F57" s="6" t="str">
        <f>IF($A57="","",IF(ISNUMBER(MyIMCA!$C54),"","area missing → counted as 0"))</f>
        <v/>
      </c>
    </row>
    <row r="58" spans="1:6" x14ac:dyDescent="0.35">
      <c r="A58" s="6" t="str">
        <f>IF(OR(MyIMCA!$B55="",MyIMCA!$A55="total"),"",MyIMCA!$A55)</f>
        <v/>
      </c>
      <c r="B58" s="6" t="str">
        <f>IF($A58="","",MyIMCA!$B55)</f>
        <v/>
      </c>
      <c r="C58" s="17" t="str">
        <f>IF($A58="","",IF(ISNUMBER(MyIMCA!$C55),MyIMCA!$C55,0))</f>
        <v/>
      </c>
      <c r="D58" s="22">
        <f t="shared" si="2"/>
        <v>0</v>
      </c>
      <c r="E58" s="17">
        <f t="shared" si="3"/>
        <v>0</v>
      </c>
      <c r="F58" s="6" t="str">
        <f>IF($A58="","",IF(ISNUMBER(MyIMCA!$C55),"","area missing → counted as 0"))</f>
        <v/>
      </c>
    </row>
    <row r="59" spans="1:6" x14ac:dyDescent="0.35">
      <c r="A59" s="6" t="str">
        <f>IF(OR(MyIMCA!$B56="",MyIMCA!$A56="total"),"",MyIMCA!$A56)</f>
        <v/>
      </c>
      <c r="B59" s="6" t="str">
        <f>IF($A59="","",MyIMCA!$B56)</f>
        <v/>
      </c>
      <c r="C59" s="17" t="str">
        <f>IF($A59="","",IF(ISNUMBER(MyIMCA!$C56),MyIMCA!$C56,0))</f>
        <v/>
      </c>
      <c r="D59" s="22">
        <f t="shared" si="2"/>
        <v>0</v>
      </c>
      <c r="E59" s="17">
        <f t="shared" si="3"/>
        <v>0</v>
      </c>
      <c r="F59" s="6" t="str">
        <f>IF($A59="","",IF(ISNUMBER(MyIMCA!$C56),"","area missing → counted as 0"))</f>
        <v/>
      </c>
    </row>
    <row r="60" spans="1:6" x14ac:dyDescent="0.35">
      <c r="A60" s="6" t="str">
        <f>IF(OR(MyIMCA!$B57="",MyIMCA!$A57="total"),"",MyIMCA!$A57)</f>
        <v/>
      </c>
      <c r="B60" s="6" t="str">
        <f>IF($A60="","",MyIMCA!$B57)</f>
        <v/>
      </c>
      <c r="C60" s="17" t="str">
        <f>IF($A60="","",IF(ISNUMBER(MyIMCA!$C57),MyIMCA!$C57,0))</f>
        <v/>
      </c>
      <c r="D60" s="22">
        <f t="shared" si="2"/>
        <v>0</v>
      </c>
      <c r="E60" s="17">
        <f t="shared" si="3"/>
        <v>0</v>
      </c>
      <c r="F60" s="6" t="str">
        <f>IF($A60="","",IF(ISNUMBER(MyIMCA!$C57),"","area missing → counted as 0"))</f>
        <v/>
      </c>
    </row>
    <row r="61" spans="1:6" x14ac:dyDescent="0.35">
      <c r="A61" s="6" t="str">
        <f>IF(OR(MyIMCA!$B58="",MyIMCA!$A58="total"),"",MyIMCA!$A58)</f>
        <v/>
      </c>
      <c r="B61" s="6" t="str">
        <f>IF($A61="","",MyIMCA!$B58)</f>
        <v/>
      </c>
      <c r="C61" s="17" t="str">
        <f>IF($A61="","",IF(ISNUMBER(MyIMCA!$C58),MyIMCA!$C58,0))</f>
        <v/>
      </c>
      <c r="D61" s="22">
        <f t="shared" si="2"/>
        <v>0</v>
      </c>
      <c r="E61" s="17">
        <f t="shared" si="3"/>
        <v>0</v>
      </c>
      <c r="F61" s="6" t="str">
        <f>IF($A61="","",IF(ISNUMBER(MyIMCA!$C58),"","area missing → counted as 0"))</f>
        <v/>
      </c>
    </row>
    <row r="62" spans="1:6" x14ac:dyDescent="0.35">
      <c r="A62" s="6" t="str">
        <f>IF(OR(MyIMCA!$B59="",MyIMCA!$A59="total"),"",MyIMCA!$A59)</f>
        <v/>
      </c>
      <c r="B62" s="6" t="str">
        <f>IF($A62="","",MyIMCA!$B59)</f>
        <v/>
      </c>
      <c r="C62" s="17" t="str">
        <f>IF($A62="","",IF(ISNUMBER(MyIMCA!$C59),MyIMCA!$C59,0))</f>
        <v/>
      </c>
      <c r="D62" s="22">
        <f t="shared" si="2"/>
        <v>0</v>
      </c>
      <c r="E62" s="17">
        <f t="shared" si="3"/>
        <v>0</v>
      </c>
      <c r="F62" s="6" t="str">
        <f>IF($A62="","",IF(ISNUMBER(MyIMCA!$C59),"","area missing → counted as 0"))</f>
        <v/>
      </c>
    </row>
    <row r="63" spans="1:6" x14ac:dyDescent="0.35">
      <c r="A63" s="6" t="str">
        <f>IF(OR(MyIMCA!$B60="",MyIMCA!$A60="total"),"",MyIMCA!$A60)</f>
        <v/>
      </c>
      <c r="B63" s="6" t="str">
        <f>IF($A63="","",MyIMCA!$B60)</f>
        <v/>
      </c>
      <c r="C63" s="17" t="str">
        <f>IF($A63="","",IF(ISNUMBER(MyIMCA!$C60),MyIMCA!$C60,0))</f>
        <v/>
      </c>
      <c r="D63" s="22">
        <f t="shared" si="2"/>
        <v>0</v>
      </c>
      <c r="E63" s="17">
        <f t="shared" si="3"/>
        <v>0</v>
      </c>
      <c r="F63" s="6" t="str">
        <f>IF($A63="","",IF(ISNUMBER(MyIMCA!$C60),"","area missing → counted as 0"))</f>
        <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6A6A6"/>
  </sheetPr>
  <dimension ref="A1:D81"/>
  <sheetViews>
    <sheetView workbookViewId="0">
      <pane ySplit="1" topLeftCell="A2" activePane="bottomLeft" state="frozen"/>
      <selection pane="bottomLeft"/>
    </sheetView>
  </sheetViews>
  <sheetFormatPr defaultRowHeight="14.5" x14ac:dyDescent="0.35"/>
  <cols>
    <col min="1" max="4" width="22" customWidth="1"/>
  </cols>
  <sheetData>
    <row r="1" spans="1:4" x14ac:dyDescent="0.35">
      <c r="A1" s="11" t="s">
        <v>3</v>
      </c>
      <c r="B1" s="11" t="s">
        <v>203</v>
      </c>
      <c r="C1" s="11" t="s">
        <v>204</v>
      </c>
      <c r="D1" s="11" t="s">
        <v>205</v>
      </c>
    </row>
    <row r="2" spans="1:4" x14ac:dyDescent="0.35">
      <c r="A2" s="6" t="s">
        <v>81</v>
      </c>
      <c r="B2" s="6" t="s">
        <v>206</v>
      </c>
      <c r="C2" s="6">
        <v>379</v>
      </c>
      <c r="D2" s="6">
        <v>26987</v>
      </c>
    </row>
    <row r="3" spans="1:4" x14ac:dyDescent="0.35">
      <c r="A3" s="6" t="s">
        <v>81</v>
      </c>
      <c r="B3" s="6" t="s">
        <v>207</v>
      </c>
      <c r="C3" s="6">
        <v>67</v>
      </c>
      <c r="D3" s="6">
        <v>4476</v>
      </c>
    </row>
    <row r="4" spans="1:4" x14ac:dyDescent="0.35">
      <c r="A4" s="6" t="s">
        <v>81</v>
      </c>
      <c r="B4" s="6" t="s">
        <v>208</v>
      </c>
      <c r="C4" s="6">
        <v>3</v>
      </c>
      <c r="D4" s="6">
        <v>179</v>
      </c>
    </row>
    <row r="5" spans="1:4" x14ac:dyDescent="0.35">
      <c r="A5" s="6" t="s">
        <v>81</v>
      </c>
      <c r="B5" s="6" t="s">
        <v>209</v>
      </c>
      <c r="C5" s="6">
        <v>26</v>
      </c>
      <c r="D5" s="6">
        <v>2126</v>
      </c>
    </row>
    <row r="6" spans="1:4" x14ac:dyDescent="0.35">
      <c r="A6" s="6" t="s">
        <v>81</v>
      </c>
      <c r="B6" s="6" t="s">
        <v>210</v>
      </c>
      <c r="C6" s="6">
        <v>496</v>
      </c>
      <c r="D6" s="6">
        <v>33768</v>
      </c>
    </row>
    <row r="7" spans="1:4" x14ac:dyDescent="0.35">
      <c r="A7" s="6" t="s">
        <v>82</v>
      </c>
      <c r="B7" s="6" t="s">
        <v>206</v>
      </c>
      <c r="C7" s="6">
        <v>92</v>
      </c>
      <c r="D7" s="6">
        <v>7452</v>
      </c>
    </row>
    <row r="8" spans="1:4" x14ac:dyDescent="0.35">
      <c r="A8" s="6" t="s">
        <v>82</v>
      </c>
      <c r="B8" s="6" t="s">
        <v>207</v>
      </c>
      <c r="C8" s="6">
        <v>71</v>
      </c>
      <c r="D8" s="6">
        <v>5256</v>
      </c>
    </row>
    <row r="9" spans="1:4" x14ac:dyDescent="0.35">
      <c r="A9" s="6" t="s">
        <v>82</v>
      </c>
      <c r="B9" s="6" t="s">
        <v>208</v>
      </c>
      <c r="C9" s="6">
        <v>6</v>
      </c>
      <c r="D9" s="6">
        <v>294</v>
      </c>
    </row>
    <row r="10" spans="1:4" x14ac:dyDescent="0.35">
      <c r="A10" s="6" t="s">
        <v>82</v>
      </c>
      <c r="B10" s="6" t="s">
        <v>209</v>
      </c>
      <c r="C10" s="6">
        <v>10</v>
      </c>
      <c r="D10" s="6">
        <v>537</v>
      </c>
    </row>
    <row r="11" spans="1:4" x14ac:dyDescent="0.35">
      <c r="A11" s="6" t="s">
        <v>82</v>
      </c>
      <c r="B11" s="6" t="s">
        <v>210</v>
      </c>
      <c r="C11" s="6">
        <v>179</v>
      </c>
      <c r="D11" s="6">
        <v>13539</v>
      </c>
    </row>
    <row r="12" spans="1:4" x14ac:dyDescent="0.35">
      <c r="A12" s="6" t="s">
        <v>84</v>
      </c>
      <c r="B12" s="6" t="s">
        <v>206</v>
      </c>
      <c r="C12" s="6">
        <v>145</v>
      </c>
      <c r="D12" s="6">
        <v>15031</v>
      </c>
    </row>
    <row r="13" spans="1:4" x14ac:dyDescent="0.35">
      <c r="A13" s="6" t="s">
        <v>84</v>
      </c>
      <c r="B13" s="6" t="s">
        <v>207</v>
      </c>
      <c r="C13" s="6">
        <v>23</v>
      </c>
      <c r="D13" s="6">
        <v>3616</v>
      </c>
    </row>
    <row r="14" spans="1:4" x14ac:dyDescent="0.35">
      <c r="A14" s="6" t="s">
        <v>84</v>
      </c>
      <c r="B14" s="6" t="s">
        <v>208</v>
      </c>
      <c r="C14" s="6">
        <v>0</v>
      </c>
      <c r="D14" s="6">
        <v>0</v>
      </c>
    </row>
    <row r="15" spans="1:4" x14ac:dyDescent="0.35">
      <c r="A15" s="6" t="s">
        <v>84</v>
      </c>
      <c r="B15" s="6" t="s">
        <v>209</v>
      </c>
      <c r="C15" s="6">
        <v>13</v>
      </c>
      <c r="D15" s="6">
        <v>1903</v>
      </c>
    </row>
    <row r="16" spans="1:4" x14ac:dyDescent="0.35">
      <c r="A16" s="6" t="s">
        <v>84</v>
      </c>
      <c r="B16" s="6" t="s">
        <v>210</v>
      </c>
      <c r="C16" s="6">
        <v>181</v>
      </c>
      <c r="D16" s="6">
        <v>20550</v>
      </c>
    </row>
    <row r="17" spans="1:4" x14ac:dyDescent="0.35">
      <c r="A17" s="6" t="s">
        <v>85</v>
      </c>
      <c r="B17" s="6" t="s">
        <v>206</v>
      </c>
      <c r="C17" s="6">
        <v>109</v>
      </c>
      <c r="D17" s="6">
        <v>6500</v>
      </c>
    </row>
    <row r="18" spans="1:4" x14ac:dyDescent="0.35">
      <c r="A18" s="6" t="s">
        <v>85</v>
      </c>
      <c r="B18" s="6" t="s">
        <v>207</v>
      </c>
      <c r="C18" s="6">
        <v>39</v>
      </c>
      <c r="D18" s="6">
        <v>6057</v>
      </c>
    </row>
    <row r="19" spans="1:4" x14ac:dyDescent="0.35">
      <c r="A19" s="6" t="s">
        <v>85</v>
      </c>
      <c r="B19" s="6" t="s">
        <v>208</v>
      </c>
      <c r="C19" s="6">
        <v>0</v>
      </c>
      <c r="D19" s="6">
        <v>0</v>
      </c>
    </row>
    <row r="20" spans="1:4" x14ac:dyDescent="0.35">
      <c r="A20" s="6" t="s">
        <v>85</v>
      </c>
      <c r="B20" s="6" t="s">
        <v>209</v>
      </c>
      <c r="C20" s="6">
        <v>12</v>
      </c>
      <c r="D20" s="6">
        <v>717</v>
      </c>
    </row>
    <row r="21" spans="1:4" x14ac:dyDescent="0.35">
      <c r="A21" s="6" t="s">
        <v>85</v>
      </c>
      <c r="B21" s="6" t="s">
        <v>210</v>
      </c>
      <c r="C21" s="6">
        <v>160</v>
      </c>
      <c r="D21" s="6">
        <v>13274</v>
      </c>
    </row>
    <row r="22" spans="1:4" x14ac:dyDescent="0.35">
      <c r="A22" s="6" t="s">
        <v>86</v>
      </c>
      <c r="B22" s="6" t="s">
        <v>206</v>
      </c>
      <c r="C22" s="6">
        <v>136</v>
      </c>
      <c r="D22" s="6">
        <v>6750</v>
      </c>
    </row>
    <row r="23" spans="1:4" x14ac:dyDescent="0.35">
      <c r="A23" s="6" t="s">
        <v>86</v>
      </c>
      <c r="B23" s="6" t="s">
        <v>207</v>
      </c>
      <c r="C23" s="6">
        <v>86</v>
      </c>
      <c r="D23" s="6">
        <v>4898</v>
      </c>
    </row>
    <row r="24" spans="1:4" x14ac:dyDescent="0.35">
      <c r="A24" s="6" t="s">
        <v>86</v>
      </c>
      <c r="B24" s="6" t="s">
        <v>208</v>
      </c>
      <c r="C24" s="6">
        <v>64</v>
      </c>
      <c r="D24" s="6">
        <v>13305</v>
      </c>
    </row>
    <row r="25" spans="1:4" x14ac:dyDescent="0.35">
      <c r="A25" s="6" t="s">
        <v>86</v>
      </c>
      <c r="B25" s="6" t="s">
        <v>209</v>
      </c>
      <c r="C25" s="6">
        <v>19</v>
      </c>
      <c r="D25" s="6">
        <v>1084</v>
      </c>
    </row>
    <row r="26" spans="1:4" x14ac:dyDescent="0.35">
      <c r="A26" s="6" t="s">
        <v>86</v>
      </c>
      <c r="B26" s="6" t="s">
        <v>210</v>
      </c>
      <c r="C26" s="6">
        <v>305</v>
      </c>
      <c r="D26" s="6">
        <v>26037</v>
      </c>
    </row>
    <row r="27" spans="1:4" x14ac:dyDescent="0.35">
      <c r="A27" s="6" t="s">
        <v>87</v>
      </c>
      <c r="B27" s="6" t="s">
        <v>206</v>
      </c>
      <c r="C27" s="6">
        <v>249</v>
      </c>
      <c r="D27" s="6">
        <v>12783</v>
      </c>
    </row>
    <row r="28" spans="1:4" x14ac:dyDescent="0.35">
      <c r="A28" s="6" t="s">
        <v>87</v>
      </c>
      <c r="B28" s="6" t="s">
        <v>207</v>
      </c>
      <c r="C28" s="6">
        <v>51</v>
      </c>
      <c r="D28" s="6">
        <v>3106</v>
      </c>
    </row>
    <row r="29" spans="1:4" x14ac:dyDescent="0.35">
      <c r="A29" s="6" t="s">
        <v>87</v>
      </c>
      <c r="B29" s="6" t="s">
        <v>208</v>
      </c>
      <c r="C29" s="6">
        <v>1</v>
      </c>
      <c r="D29" s="6">
        <v>35</v>
      </c>
    </row>
    <row r="30" spans="1:4" x14ac:dyDescent="0.35">
      <c r="A30" s="6" t="s">
        <v>87</v>
      </c>
      <c r="B30" s="6" t="s">
        <v>209</v>
      </c>
      <c r="C30" s="6">
        <v>40</v>
      </c>
      <c r="D30" s="6">
        <v>2257</v>
      </c>
    </row>
    <row r="31" spans="1:4" x14ac:dyDescent="0.35">
      <c r="A31" s="6" t="s">
        <v>87</v>
      </c>
      <c r="B31" s="6" t="s">
        <v>210</v>
      </c>
      <c r="C31" s="6">
        <v>341</v>
      </c>
      <c r="D31" s="6">
        <v>18181</v>
      </c>
    </row>
    <row r="32" spans="1:4" x14ac:dyDescent="0.35">
      <c r="A32" s="6" t="s">
        <v>88</v>
      </c>
      <c r="B32" s="6" t="s">
        <v>206</v>
      </c>
      <c r="C32" s="6">
        <v>26</v>
      </c>
      <c r="D32" s="6">
        <v>1015</v>
      </c>
    </row>
    <row r="33" spans="1:4" x14ac:dyDescent="0.35">
      <c r="A33" s="6" t="s">
        <v>88</v>
      </c>
      <c r="B33" s="6" t="s">
        <v>207</v>
      </c>
      <c r="C33" s="6">
        <v>2</v>
      </c>
      <c r="D33" s="6">
        <v>150</v>
      </c>
    </row>
    <row r="34" spans="1:4" x14ac:dyDescent="0.35">
      <c r="A34" s="6" t="s">
        <v>88</v>
      </c>
      <c r="B34" s="6" t="s">
        <v>208</v>
      </c>
      <c r="C34" s="6">
        <v>0</v>
      </c>
      <c r="D34" s="6">
        <v>0</v>
      </c>
    </row>
    <row r="35" spans="1:4" x14ac:dyDescent="0.35">
      <c r="A35" s="6" t="s">
        <v>88</v>
      </c>
      <c r="B35" s="6" t="s">
        <v>209</v>
      </c>
      <c r="C35" s="6">
        <v>5</v>
      </c>
      <c r="D35" s="6">
        <v>156</v>
      </c>
    </row>
    <row r="36" spans="1:4" x14ac:dyDescent="0.35">
      <c r="A36" s="6" t="s">
        <v>88</v>
      </c>
      <c r="B36" s="6" t="s">
        <v>210</v>
      </c>
      <c r="C36" s="6">
        <v>33</v>
      </c>
      <c r="D36" s="6">
        <v>1321</v>
      </c>
    </row>
    <row r="37" spans="1:4" x14ac:dyDescent="0.35">
      <c r="A37" s="6" t="s">
        <v>89</v>
      </c>
      <c r="B37" s="6" t="s">
        <v>206</v>
      </c>
      <c r="C37" s="6">
        <v>225</v>
      </c>
      <c r="D37" s="6">
        <v>20728</v>
      </c>
    </row>
    <row r="38" spans="1:4" x14ac:dyDescent="0.35">
      <c r="A38" s="6" t="s">
        <v>89</v>
      </c>
      <c r="B38" s="6" t="s">
        <v>207</v>
      </c>
      <c r="C38" s="6">
        <v>21</v>
      </c>
      <c r="D38" s="6">
        <v>4424</v>
      </c>
    </row>
    <row r="39" spans="1:4" x14ac:dyDescent="0.35">
      <c r="A39" s="6" t="s">
        <v>89</v>
      </c>
      <c r="B39" s="6" t="s">
        <v>208</v>
      </c>
      <c r="C39" s="6">
        <v>1</v>
      </c>
      <c r="D39" s="6">
        <v>10</v>
      </c>
    </row>
    <row r="40" spans="1:4" x14ac:dyDescent="0.35">
      <c r="A40" s="6" t="s">
        <v>89</v>
      </c>
      <c r="B40" s="6" t="s">
        <v>209</v>
      </c>
      <c r="C40" s="6">
        <v>6</v>
      </c>
      <c r="D40" s="6">
        <v>441</v>
      </c>
    </row>
    <row r="41" spans="1:4" x14ac:dyDescent="0.35">
      <c r="A41" s="6" t="s">
        <v>89</v>
      </c>
      <c r="B41" s="6" t="s">
        <v>210</v>
      </c>
      <c r="C41" s="6">
        <v>253</v>
      </c>
      <c r="D41" s="6">
        <v>25603</v>
      </c>
    </row>
    <row r="42" spans="1:4" x14ac:dyDescent="0.35">
      <c r="A42" s="6" t="s">
        <v>91</v>
      </c>
      <c r="B42" s="6" t="s">
        <v>206</v>
      </c>
      <c r="C42" s="6">
        <v>377</v>
      </c>
      <c r="D42" s="6">
        <v>20345</v>
      </c>
    </row>
    <row r="43" spans="1:4" x14ac:dyDescent="0.35">
      <c r="A43" s="6" t="s">
        <v>91</v>
      </c>
      <c r="B43" s="6" t="s">
        <v>207</v>
      </c>
      <c r="C43" s="6">
        <v>5</v>
      </c>
      <c r="D43" s="6">
        <v>967</v>
      </c>
    </row>
    <row r="44" spans="1:4" x14ac:dyDescent="0.35">
      <c r="A44" s="6" t="s">
        <v>91</v>
      </c>
      <c r="B44" s="6" t="s">
        <v>208</v>
      </c>
      <c r="C44" s="6">
        <v>4</v>
      </c>
      <c r="D44" s="6">
        <v>456</v>
      </c>
    </row>
    <row r="45" spans="1:4" x14ac:dyDescent="0.35">
      <c r="A45" s="6" t="s">
        <v>91</v>
      </c>
      <c r="B45" s="6" t="s">
        <v>209</v>
      </c>
      <c r="C45" s="6">
        <v>4</v>
      </c>
      <c r="D45" s="6">
        <v>297</v>
      </c>
    </row>
    <row r="46" spans="1:4" x14ac:dyDescent="0.35">
      <c r="A46" s="6" t="s">
        <v>91</v>
      </c>
      <c r="B46" s="6" t="s">
        <v>210</v>
      </c>
      <c r="C46" s="6">
        <v>390</v>
      </c>
      <c r="D46" s="6">
        <v>22065</v>
      </c>
    </row>
    <row r="47" spans="1:4" x14ac:dyDescent="0.35">
      <c r="A47" s="6" t="s">
        <v>92</v>
      </c>
      <c r="B47" s="6" t="s">
        <v>206</v>
      </c>
      <c r="C47" s="6">
        <v>198</v>
      </c>
      <c r="D47" s="6">
        <v>25508</v>
      </c>
    </row>
    <row r="48" spans="1:4" x14ac:dyDescent="0.35">
      <c r="A48" s="6" t="s">
        <v>92</v>
      </c>
      <c r="B48" s="6" t="s">
        <v>207</v>
      </c>
      <c r="C48" s="6">
        <v>9</v>
      </c>
      <c r="D48" s="6">
        <v>803</v>
      </c>
    </row>
    <row r="49" spans="1:4" x14ac:dyDescent="0.35">
      <c r="A49" s="6" t="s">
        <v>92</v>
      </c>
      <c r="B49" s="6" t="s">
        <v>208</v>
      </c>
      <c r="C49" s="6">
        <v>0</v>
      </c>
      <c r="D49" s="6">
        <v>0</v>
      </c>
    </row>
    <row r="50" spans="1:4" x14ac:dyDescent="0.35">
      <c r="A50" s="6" t="s">
        <v>92</v>
      </c>
      <c r="B50" s="6" t="s">
        <v>209</v>
      </c>
      <c r="C50" s="6">
        <v>4</v>
      </c>
      <c r="D50" s="6">
        <v>470</v>
      </c>
    </row>
    <row r="51" spans="1:4" x14ac:dyDescent="0.35">
      <c r="A51" s="6" t="s">
        <v>92</v>
      </c>
      <c r="B51" s="6" t="s">
        <v>210</v>
      </c>
      <c r="C51" s="6">
        <v>211</v>
      </c>
      <c r="D51" s="6">
        <v>26781</v>
      </c>
    </row>
    <row r="52" spans="1:4" x14ac:dyDescent="0.35">
      <c r="A52" s="6" t="s">
        <v>211</v>
      </c>
      <c r="B52" s="6" t="s">
        <v>206</v>
      </c>
      <c r="C52" s="6">
        <v>255</v>
      </c>
      <c r="D52" s="6">
        <v>50423</v>
      </c>
    </row>
    <row r="53" spans="1:4" x14ac:dyDescent="0.35">
      <c r="A53" s="6" t="s">
        <v>211</v>
      </c>
      <c r="B53" s="6" t="s">
        <v>207</v>
      </c>
      <c r="C53" s="6">
        <v>0</v>
      </c>
      <c r="D53" s="6">
        <v>0</v>
      </c>
    </row>
    <row r="54" spans="1:4" x14ac:dyDescent="0.35">
      <c r="A54" s="6" t="s">
        <v>211</v>
      </c>
      <c r="B54" s="6" t="s">
        <v>208</v>
      </c>
      <c r="C54" s="6">
        <v>0</v>
      </c>
      <c r="D54" s="6">
        <v>0</v>
      </c>
    </row>
    <row r="55" spans="1:4" x14ac:dyDescent="0.35">
      <c r="A55" s="6" t="s">
        <v>211</v>
      </c>
      <c r="B55" s="6" t="s">
        <v>209</v>
      </c>
      <c r="C55" s="6">
        <v>0</v>
      </c>
      <c r="D55" s="6">
        <v>0</v>
      </c>
    </row>
    <row r="56" spans="1:4" x14ac:dyDescent="0.35">
      <c r="A56" s="6" t="s">
        <v>211</v>
      </c>
      <c r="B56" s="6" t="s">
        <v>210</v>
      </c>
      <c r="C56" s="6">
        <v>255</v>
      </c>
      <c r="D56" s="6">
        <v>50423</v>
      </c>
    </row>
    <row r="57" spans="1:4" x14ac:dyDescent="0.35">
      <c r="A57" s="6" t="s">
        <v>94</v>
      </c>
      <c r="B57" s="6" t="s">
        <v>206</v>
      </c>
      <c r="C57" s="6">
        <v>39</v>
      </c>
      <c r="D57" s="6">
        <v>1537</v>
      </c>
    </row>
    <row r="58" spans="1:4" x14ac:dyDescent="0.35">
      <c r="A58" s="6" t="s">
        <v>94</v>
      </c>
      <c r="B58" s="6" t="s">
        <v>207</v>
      </c>
      <c r="C58" s="6">
        <v>2</v>
      </c>
      <c r="D58" s="6">
        <v>215</v>
      </c>
    </row>
    <row r="59" spans="1:4" x14ac:dyDescent="0.35">
      <c r="A59" s="6" t="s">
        <v>94</v>
      </c>
      <c r="B59" s="6" t="s">
        <v>208</v>
      </c>
      <c r="C59" s="6">
        <v>0</v>
      </c>
      <c r="D59" s="6">
        <v>0</v>
      </c>
    </row>
    <row r="60" spans="1:4" x14ac:dyDescent="0.35">
      <c r="A60" s="6" t="s">
        <v>94</v>
      </c>
      <c r="B60" s="6" t="s">
        <v>209</v>
      </c>
      <c r="C60" s="6">
        <v>2</v>
      </c>
      <c r="D60" s="6">
        <v>106</v>
      </c>
    </row>
    <row r="61" spans="1:4" x14ac:dyDescent="0.35">
      <c r="A61" s="6" t="s">
        <v>94</v>
      </c>
      <c r="B61" s="6" t="s">
        <v>210</v>
      </c>
      <c r="C61" s="6">
        <v>43</v>
      </c>
      <c r="D61" s="6">
        <v>1858</v>
      </c>
    </row>
    <row r="62" spans="1:4" x14ac:dyDescent="0.35">
      <c r="A62" s="6" t="s">
        <v>212</v>
      </c>
      <c r="B62" s="6" t="s">
        <v>206</v>
      </c>
      <c r="C62" s="6">
        <v>6</v>
      </c>
      <c r="D62" s="6">
        <v>1624</v>
      </c>
    </row>
    <row r="63" spans="1:4" x14ac:dyDescent="0.35">
      <c r="A63" s="6" t="s">
        <v>212</v>
      </c>
      <c r="B63" s="6" t="s">
        <v>207</v>
      </c>
      <c r="C63" s="6">
        <v>0</v>
      </c>
      <c r="D63" s="6">
        <v>0</v>
      </c>
    </row>
    <row r="64" spans="1:4" x14ac:dyDescent="0.35">
      <c r="A64" s="6" t="s">
        <v>212</v>
      </c>
      <c r="B64" s="6" t="s">
        <v>208</v>
      </c>
      <c r="C64" s="6">
        <v>0</v>
      </c>
      <c r="D64" s="6">
        <v>0</v>
      </c>
    </row>
    <row r="65" spans="1:4" x14ac:dyDescent="0.35">
      <c r="A65" s="6" t="s">
        <v>212</v>
      </c>
      <c r="B65" s="6" t="s">
        <v>209</v>
      </c>
      <c r="C65" s="6">
        <v>1</v>
      </c>
      <c r="D65" s="6">
        <v>145</v>
      </c>
    </row>
    <row r="66" spans="1:4" x14ac:dyDescent="0.35">
      <c r="A66" s="6" t="s">
        <v>212</v>
      </c>
      <c r="B66" s="6" t="s">
        <v>210</v>
      </c>
      <c r="C66" s="6">
        <v>7</v>
      </c>
      <c r="D66" s="6">
        <v>1769</v>
      </c>
    </row>
    <row r="67" spans="1:4" x14ac:dyDescent="0.35">
      <c r="A67" s="6" t="s">
        <v>90</v>
      </c>
      <c r="B67" s="6" t="s">
        <v>206</v>
      </c>
      <c r="C67" s="6">
        <v>353</v>
      </c>
      <c r="D67" s="6">
        <v>20871</v>
      </c>
    </row>
    <row r="68" spans="1:4" x14ac:dyDescent="0.35">
      <c r="A68" s="6" t="s">
        <v>90</v>
      </c>
      <c r="B68" s="6" t="s">
        <v>207</v>
      </c>
      <c r="C68" s="6">
        <v>26</v>
      </c>
      <c r="D68" s="6">
        <v>2852</v>
      </c>
    </row>
    <row r="69" spans="1:4" x14ac:dyDescent="0.35">
      <c r="A69" s="6" t="s">
        <v>90</v>
      </c>
      <c r="B69" s="6" t="s">
        <v>208</v>
      </c>
      <c r="C69" s="6">
        <v>32</v>
      </c>
      <c r="D69" s="6">
        <v>1006</v>
      </c>
    </row>
    <row r="70" spans="1:4" x14ac:dyDescent="0.35">
      <c r="A70" s="6" t="s">
        <v>90</v>
      </c>
      <c r="B70" s="6" t="s">
        <v>209</v>
      </c>
      <c r="C70" s="6">
        <v>27</v>
      </c>
      <c r="D70" s="6">
        <v>963</v>
      </c>
    </row>
    <row r="71" spans="1:4" x14ac:dyDescent="0.35">
      <c r="A71" s="6" t="s">
        <v>90</v>
      </c>
      <c r="B71" s="6" t="s">
        <v>210</v>
      </c>
      <c r="C71" s="6">
        <v>438</v>
      </c>
      <c r="D71" s="6">
        <v>25692</v>
      </c>
    </row>
    <row r="72" spans="1:4" x14ac:dyDescent="0.35">
      <c r="A72" s="6" t="s">
        <v>93</v>
      </c>
      <c r="B72" s="6" t="s">
        <v>206</v>
      </c>
      <c r="C72" s="6">
        <v>90</v>
      </c>
      <c r="D72" s="6">
        <v>4243</v>
      </c>
    </row>
    <row r="73" spans="1:4" x14ac:dyDescent="0.35">
      <c r="A73" s="6" t="s">
        <v>93</v>
      </c>
      <c r="B73" s="6" t="s">
        <v>207</v>
      </c>
      <c r="C73" s="6">
        <v>137</v>
      </c>
      <c r="D73" s="6">
        <v>6422</v>
      </c>
    </row>
    <row r="74" spans="1:4" x14ac:dyDescent="0.35">
      <c r="A74" s="6" t="s">
        <v>93</v>
      </c>
      <c r="B74" s="6" t="s">
        <v>208</v>
      </c>
      <c r="C74" s="6">
        <v>4</v>
      </c>
      <c r="D74" s="6">
        <v>195</v>
      </c>
    </row>
    <row r="75" spans="1:4" x14ac:dyDescent="0.35">
      <c r="A75" s="6" t="s">
        <v>93</v>
      </c>
      <c r="B75" s="6" t="s">
        <v>209</v>
      </c>
      <c r="C75" s="6">
        <v>20</v>
      </c>
      <c r="D75" s="6">
        <v>817</v>
      </c>
    </row>
    <row r="76" spans="1:4" x14ac:dyDescent="0.35">
      <c r="A76" s="6" t="s">
        <v>93</v>
      </c>
      <c r="B76" s="6" t="s">
        <v>210</v>
      </c>
      <c r="C76" s="6">
        <v>251</v>
      </c>
      <c r="D76" s="6">
        <v>11667</v>
      </c>
    </row>
    <row r="77" spans="1:4" x14ac:dyDescent="0.35">
      <c r="A77" s="6" t="s">
        <v>83</v>
      </c>
      <c r="B77" s="6" t="s">
        <v>206</v>
      </c>
      <c r="C77" s="6">
        <v>74</v>
      </c>
      <c r="D77" s="6">
        <v>3661</v>
      </c>
    </row>
    <row r="78" spans="1:4" x14ac:dyDescent="0.35">
      <c r="A78" s="6" t="s">
        <v>83</v>
      </c>
      <c r="B78" s="6" t="s">
        <v>207</v>
      </c>
      <c r="C78" s="6">
        <v>16</v>
      </c>
      <c r="D78" s="6">
        <v>679</v>
      </c>
    </row>
    <row r="79" spans="1:4" x14ac:dyDescent="0.35">
      <c r="A79" s="6" t="s">
        <v>83</v>
      </c>
      <c r="B79" s="6" t="s">
        <v>208</v>
      </c>
      <c r="C79" s="6">
        <v>0</v>
      </c>
      <c r="D79" s="6">
        <v>0</v>
      </c>
    </row>
    <row r="80" spans="1:4" x14ac:dyDescent="0.35">
      <c r="A80" s="6" t="s">
        <v>83</v>
      </c>
      <c r="B80" s="6" t="s">
        <v>209</v>
      </c>
      <c r="C80" s="6">
        <v>1</v>
      </c>
      <c r="D80" s="6">
        <v>20</v>
      </c>
    </row>
    <row r="81" spans="1:4" x14ac:dyDescent="0.35">
      <c r="A81" s="6" t="s">
        <v>83</v>
      </c>
      <c r="B81" s="6" t="s">
        <v>210</v>
      </c>
      <c r="C81" s="6">
        <v>91</v>
      </c>
      <c r="D81" s="6">
        <v>4360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A6A6"/>
  </sheetPr>
  <dimension ref="A1:Q294"/>
  <sheetViews>
    <sheetView workbookViewId="0">
      <pane ySplit="1" topLeftCell="A2" activePane="bottomLeft" state="frozen"/>
      <selection pane="bottomLeft"/>
    </sheetView>
  </sheetViews>
  <sheetFormatPr defaultRowHeight="14.5" x14ac:dyDescent="0.35"/>
  <cols>
    <col min="1" max="17" width="22" customWidth="1"/>
  </cols>
  <sheetData>
    <row r="1" spans="1:17" x14ac:dyDescent="0.35">
      <c r="A1" s="11" t="s">
        <v>213</v>
      </c>
      <c r="B1" s="11"/>
      <c r="C1" s="11"/>
      <c r="D1" s="11"/>
      <c r="E1" s="11"/>
      <c r="F1" s="11"/>
      <c r="G1" s="11"/>
      <c r="H1" s="11"/>
      <c r="I1" s="11"/>
      <c r="J1" s="11"/>
      <c r="K1" s="11"/>
      <c r="L1" s="11"/>
      <c r="M1" s="11"/>
      <c r="N1" s="11"/>
      <c r="O1" s="11"/>
      <c r="P1" s="11"/>
      <c r="Q1" s="11"/>
    </row>
    <row r="2" spans="1:17" x14ac:dyDescent="0.35">
      <c r="A2" s="6" t="s">
        <v>214</v>
      </c>
      <c r="B2" s="6"/>
      <c r="C2" s="6"/>
      <c r="D2" s="6"/>
      <c r="E2" s="6"/>
      <c r="F2" s="6"/>
      <c r="G2" s="6"/>
      <c r="H2" s="6"/>
      <c r="I2" s="6"/>
      <c r="J2" s="6"/>
      <c r="K2" s="6"/>
      <c r="L2" s="6"/>
      <c r="M2" s="6"/>
      <c r="N2" s="6"/>
      <c r="O2" s="6"/>
      <c r="P2" s="6"/>
      <c r="Q2" s="6"/>
    </row>
    <row r="3" spans="1:17" x14ac:dyDescent="0.35">
      <c r="A3" s="6" t="s">
        <v>215</v>
      </c>
      <c r="B3" s="6"/>
      <c r="C3" s="6"/>
      <c r="D3" s="6"/>
      <c r="E3" s="6"/>
      <c r="F3" s="6"/>
      <c r="G3" s="6"/>
      <c r="H3" s="6"/>
      <c r="I3" s="6"/>
      <c r="J3" s="6"/>
      <c r="K3" s="6"/>
      <c r="L3" s="6"/>
      <c r="M3" s="6"/>
      <c r="N3" s="6"/>
      <c r="O3" s="6"/>
      <c r="P3" s="6"/>
      <c r="Q3" s="6"/>
    </row>
    <row r="4" spans="1:17" x14ac:dyDescent="0.35">
      <c r="A4" s="6"/>
      <c r="B4" s="6"/>
      <c r="C4" s="6"/>
      <c r="D4" s="6"/>
      <c r="E4" s="6"/>
      <c r="F4" s="6"/>
      <c r="G4" s="6"/>
      <c r="H4" s="6"/>
      <c r="I4" s="6"/>
      <c r="J4" s="6"/>
      <c r="K4" s="6"/>
      <c r="L4" s="6"/>
      <c r="M4" s="6"/>
      <c r="N4" s="6"/>
      <c r="O4" s="6"/>
      <c r="P4" s="6"/>
      <c r="Q4" s="6"/>
    </row>
    <row r="5" spans="1:17" x14ac:dyDescent="0.35">
      <c r="A5" s="6" t="s">
        <v>216</v>
      </c>
      <c r="B5" s="6" t="s">
        <v>217</v>
      </c>
      <c r="C5" s="6" t="s">
        <v>218</v>
      </c>
      <c r="D5" s="6" t="s">
        <v>219</v>
      </c>
      <c r="E5" s="6" t="s">
        <v>220</v>
      </c>
      <c r="F5" s="6" t="s">
        <v>221</v>
      </c>
      <c r="G5" s="6" t="s">
        <v>222</v>
      </c>
      <c r="H5" s="6" t="s">
        <v>223</v>
      </c>
      <c r="I5" s="6" t="s">
        <v>224</v>
      </c>
      <c r="J5" s="6" t="s">
        <v>225</v>
      </c>
      <c r="K5" s="6" t="s">
        <v>226</v>
      </c>
      <c r="L5" s="6" t="s">
        <v>227</v>
      </c>
      <c r="M5" s="6" t="s">
        <v>228</v>
      </c>
      <c r="N5" s="6" t="s">
        <v>229</v>
      </c>
      <c r="O5" s="6" t="s">
        <v>230</v>
      </c>
      <c r="P5" s="6" t="s">
        <v>231</v>
      </c>
      <c r="Q5" s="6" t="s">
        <v>232</v>
      </c>
    </row>
    <row r="6" spans="1:17" x14ac:dyDescent="0.35">
      <c r="A6" s="6" t="s">
        <v>179</v>
      </c>
      <c r="B6" s="6" t="s">
        <v>179</v>
      </c>
      <c r="C6" s="6">
        <v>45730.9</v>
      </c>
      <c r="D6" s="6">
        <v>49383.4</v>
      </c>
      <c r="E6" s="6">
        <v>54406.400000000001</v>
      </c>
      <c r="F6" s="6">
        <v>60735.9</v>
      </c>
      <c r="G6" s="6">
        <v>62730.3</v>
      </c>
      <c r="H6" s="6">
        <v>66021.529289399987</v>
      </c>
      <c r="I6" s="6">
        <v>70523.130633999986</v>
      </c>
      <c r="J6" s="6">
        <v>78239.12315699998</v>
      </c>
      <c r="K6" s="6">
        <v>84715.697570243297</v>
      </c>
      <c r="L6" s="6">
        <v>46258.716</v>
      </c>
      <c r="M6" s="6">
        <v>14882.829</v>
      </c>
      <c r="N6" s="6">
        <v>65055.974999999999</v>
      </c>
      <c r="O6" s="6">
        <v>79559.423999999999</v>
      </c>
      <c r="P6" s="6">
        <v>93445.323000000004</v>
      </c>
      <c r="Q6" s="6">
        <v>106525.305530282</v>
      </c>
    </row>
    <row r="7" spans="1:17" x14ac:dyDescent="0.35">
      <c r="A7" s="6" t="s">
        <v>179</v>
      </c>
      <c r="B7" s="6" t="s">
        <v>81</v>
      </c>
      <c r="C7" s="6">
        <v>4320.7</v>
      </c>
      <c r="D7" s="6">
        <v>4923</v>
      </c>
      <c r="E7" s="6">
        <v>5962.4</v>
      </c>
      <c r="F7" s="6">
        <v>6501.4</v>
      </c>
      <c r="G7" s="6">
        <v>6019.4</v>
      </c>
      <c r="H7" s="6">
        <v>7406.2481754873588</v>
      </c>
      <c r="I7" s="6">
        <v>7545.1550904012674</v>
      </c>
      <c r="J7" s="6">
        <v>7782.4239939478903</v>
      </c>
      <c r="K7" s="6">
        <v>8070.5737940077997</v>
      </c>
      <c r="L7" s="6">
        <v>3988.6080000000011</v>
      </c>
      <c r="M7" s="6">
        <v>1771.3779999999999</v>
      </c>
      <c r="N7" s="6">
        <v>6253.8159999999998</v>
      </c>
      <c r="O7" s="6">
        <v>8922.9959999999992</v>
      </c>
      <c r="P7" s="6">
        <v>9481.0619999999999</v>
      </c>
      <c r="Q7" s="6">
        <v>9821.9</v>
      </c>
    </row>
    <row r="8" spans="1:17" x14ac:dyDescent="0.35">
      <c r="A8" s="6" t="s">
        <v>179</v>
      </c>
      <c r="B8" s="6" t="s">
        <v>82</v>
      </c>
      <c r="C8" s="6">
        <v>5125.3</v>
      </c>
      <c r="D8" s="6">
        <v>3902.3</v>
      </c>
      <c r="E8" s="6">
        <v>4476.6000000000004</v>
      </c>
      <c r="F8" s="6">
        <v>5412.4</v>
      </c>
      <c r="G8" s="6">
        <v>4942.2</v>
      </c>
      <c r="H8" s="6">
        <v>4864.1060577462149</v>
      </c>
      <c r="I8" s="6">
        <v>4929.5881658284115</v>
      </c>
      <c r="J8" s="6">
        <v>5448.9539113734591</v>
      </c>
      <c r="K8" s="6">
        <v>6546.3830271363804</v>
      </c>
      <c r="L8" s="6">
        <v>3486.9450000000002</v>
      </c>
      <c r="M8" s="6">
        <v>1036.7550000000001</v>
      </c>
      <c r="N8" s="6">
        <v>5594.6019999999999</v>
      </c>
      <c r="O8" s="6">
        <v>6452.4279999999999</v>
      </c>
      <c r="P8" s="6">
        <v>6854.4179999999997</v>
      </c>
      <c r="Q8" s="6">
        <v>7124.8450000000003</v>
      </c>
    </row>
    <row r="9" spans="1:17" x14ac:dyDescent="0.35">
      <c r="A9" s="6" t="s">
        <v>179</v>
      </c>
      <c r="B9" s="6" t="s">
        <v>83</v>
      </c>
      <c r="C9" s="6">
        <v>2392.1</v>
      </c>
      <c r="D9" s="6">
        <v>3280.3</v>
      </c>
      <c r="E9" s="6">
        <v>3796.8</v>
      </c>
      <c r="F9" s="6">
        <v>4296.3999999999996</v>
      </c>
      <c r="G9" s="6">
        <v>3442.2</v>
      </c>
      <c r="H9" s="6">
        <v>4102.1498757538939</v>
      </c>
      <c r="I9" s="6">
        <v>4981.9573465494786</v>
      </c>
      <c r="J9" s="6">
        <v>4726.2662043045048</v>
      </c>
      <c r="K9" s="6">
        <v>6486.5092198101602</v>
      </c>
      <c r="L9" s="6">
        <v>3318.2739999999999</v>
      </c>
      <c r="M9" s="6">
        <v>841.75900000000001</v>
      </c>
      <c r="N9" s="6">
        <v>3544.7660000000001</v>
      </c>
      <c r="O9" s="6">
        <v>4085.7910000000002</v>
      </c>
      <c r="P9" s="6">
        <v>5863.78</v>
      </c>
      <c r="Q9" s="6">
        <v>6512.13</v>
      </c>
    </row>
    <row r="10" spans="1:17" x14ac:dyDescent="0.35">
      <c r="A10" s="6" t="s">
        <v>179</v>
      </c>
      <c r="B10" s="6" t="s">
        <v>84</v>
      </c>
      <c r="C10" s="6">
        <v>2774.5</v>
      </c>
      <c r="D10" s="6">
        <v>3054.9</v>
      </c>
      <c r="E10" s="6">
        <v>3345.1</v>
      </c>
      <c r="F10" s="6">
        <v>4272.7</v>
      </c>
      <c r="G10" s="6">
        <v>3944.7</v>
      </c>
      <c r="H10" s="6">
        <v>3933.5946182377511</v>
      </c>
      <c r="I10" s="6">
        <v>3941.6486495480581</v>
      </c>
      <c r="J10" s="6">
        <v>5203.7529288522574</v>
      </c>
      <c r="K10" s="6">
        <v>4649.6520897634</v>
      </c>
      <c r="L10" s="6">
        <v>2859.4870000000001</v>
      </c>
      <c r="M10" s="6">
        <v>995.21999999999991</v>
      </c>
      <c r="N10" s="6">
        <v>4559.3239999999996</v>
      </c>
      <c r="O10" s="6">
        <v>4991.13</v>
      </c>
      <c r="P10" s="6">
        <v>6158.3680000000004</v>
      </c>
      <c r="Q10" s="6">
        <v>7178.6905302820196</v>
      </c>
    </row>
    <row r="11" spans="1:17" x14ac:dyDescent="0.35">
      <c r="A11" s="6" t="s">
        <v>179</v>
      </c>
      <c r="B11" s="6" t="s">
        <v>85</v>
      </c>
      <c r="C11" s="6">
        <v>3745</v>
      </c>
      <c r="D11" s="6">
        <v>3506.2</v>
      </c>
      <c r="E11" s="6">
        <v>3542.2</v>
      </c>
      <c r="F11" s="6">
        <v>4198.2</v>
      </c>
      <c r="G11" s="6">
        <v>6097.6</v>
      </c>
      <c r="H11" s="6">
        <v>5343.6913894895733</v>
      </c>
      <c r="I11" s="6">
        <v>5344.1597725412521</v>
      </c>
      <c r="J11" s="6">
        <v>6075.3853167092884</v>
      </c>
      <c r="K11" s="6">
        <v>5965.52979481088</v>
      </c>
      <c r="L11" s="6">
        <v>2848.21</v>
      </c>
      <c r="M11" s="6">
        <v>1209.289</v>
      </c>
      <c r="N11" s="6">
        <v>3760.82</v>
      </c>
      <c r="O11" s="6">
        <v>4255.4520000000002</v>
      </c>
      <c r="P11" s="6">
        <v>5987.5429999999997</v>
      </c>
      <c r="Q11" s="6">
        <v>6547.0230000000001</v>
      </c>
    </row>
    <row r="12" spans="1:17" x14ac:dyDescent="0.35">
      <c r="A12" s="6" t="s">
        <v>179</v>
      </c>
      <c r="B12" s="6" t="s">
        <v>86</v>
      </c>
      <c r="C12" s="6">
        <v>3407.5</v>
      </c>
      <c r="D12" s="6">
        <v>4356</v>
      </c>
      <c r="E12" s="6">
        <v>4725.3</v>
      </c>
      <c r="F12" s="6">
        <v>5850</v>
      </c>
      <c r="G12" s="6">
        <v>6872.7</v>
      </c>
      <c r="H12" s="6">
        <v>6916.4587379228096</v>
      </c>
      <c r="I12" s="6">
        <v>7703.2425656278156</v>
      </c>
      <c r="J12" s="6">
        <v>9154.1829509617055</v>
      </c>
      <c r="K12" s="6">
        <v>9494.2372977027808</v>
      </c>
      <c r="L12" s="6">
        <v>5214.5419999999986</v>
      </c>
      <c r="M12" s="6">
        <v>1273.7860000000001</v>
      </c>
      <c r="N12" s="6">
        <v>7794.1130000000003</v>
      </c>
      <c r="O12" s="6">
        <v>8537.1059999999998</v>
      </c>
      <c r="P12" s="6">
        <v>9525.8379999999997</v>
      </c>
      <c r="Q12" s="6">
        <v>11045.98</v>
      </c>
    </row>
    <row r="13" spans="1:17" x14ac:dyDescent="0.35">
      <c r="A13" s="6" t="s">
        <v>179</v>
      </c>
      <c r="B13" s="6" t="s">
        <v>89</v>
      </c>
      <c r="C13" s="6">
        <v>3553.6</v>
      </c>
      <c r="D13" s="6">
        <v>2312</v>
      </c>
      <c r="E13" s="6">
        <v>2025.8</v>
      </c>
      <c r="F13" s="6">
        <v>2684.9</v>
      </c>
      <c r="G13" s="6">
        <v>2164.1999999999998</v>
      </c>
      <c r="H13" s="6">
        <v>2968.4473485877652</v>
      </c>
      <c r="I13" s="6">
        <v>3117.2608147842489</v>
      </c>
      <c r="J13" s="6">
        <v>4002.914198306888</v>
      </c>
      <c r="K13" s="6">
        <v>3904.5576315045901</v>
      </c>
      <c r="L13" s="6">
        <v>2749.556</v>
      </c>
      <c r="M13" s="6">
        <v>712.74</v>
      </c>
      <c r="N13" s="6">
        <v>3484.2289999999998</v>
      </c>
      <c r="O13" s="6">
        <v>4069.6990000000001</v>
      </c>
      <c r="P13" s="6">
        <v>4766.0209999999997</v>
      </c>
      <c r="Q13" s="6">
        <v>5629.5439999999999</v>
      </c>
    </row>
    <row r="14" spans="1:17" x14ac:dyDescent="0.35">
      <c r="A14" s="6" t="s">
        <v>179</v>
      </c>
      <c r="B14" s="6" t="s">
        <v>87</v>
      </c>
      <c r="C14" s="6">
        <v>4065.1</v>
      </c>
      <c r="D14" s="6">
        <v>5674.4</v>
      </c>
      <c r="E14" s="6">
        <v>6010.8</v>
      </c>
      <c r="F14" s="6">
        <v>7023.3</v>
      </c>
      <c r="G14" s="6">
        <v>7963.4</v>
      </c>
      <c r="H14" s="6">
        <v>7202.4130326520617</v>
      </c>
      <c r="I14" s="6">
        <v>7639.7976469883688</v>
      </c>
      <c r="J14" s="6">
        <v>7563.9453339247639</v>
      </c>
      <c r="K14" s="6">
        <v>10122.7458722992</v>
      </c>
      <c r="L14" s="6">
        <v>4890.6469999999999</v>
      </c>
      <c r="M14" s="6">
        <v>1356.453</v>
      </c>
      <c r="N14" s="6">
        <v>6866.52</v>
      </c>
      <c r="O14" s="6">
        <v>7503.3919999999998</v>
      </c>
      <c r="P14" s="6">
        <v>10208.951999999999</v>
      </c>
      <c r="Q14" s="6">
        <v>10413.82</v>
      </c>
    </row>
    <row r="15" spans="1:17" x14ac:dyDescent="0.35">
      <c r="A15" s="6" t="s">
        <v>179</v>
      </c>
      <c r="B15" s="6" t="s">
        <v>88</v>
      </c>
      <c r="C15" s="6">
        <v>1077.5</v>
      </c>
      <c r="D15" s="6">
        <v>433</v>
      </c>
      <c r="E15" s="6">
        <v>460.1</v>
      </c>
      <c r="F15" s="6">
        <v>437.8</v>
      </c>
      <c r="G15" s="6">
        <v>645.9</v>
      </c>
      <c r="H15" s="6">
        <v>791.66326384970705</v>
      </c>
      <c r="I15" s="6">
        <v>764.52297378038509</v>
      </c>
      <c r="J15" s="6">
        <v>917.87290422608817</v>
      </c>
      <c r="K15" s="6">
        <v>625.95992060103299</v>
      </c>
      <c r="L15" s="6">
        <v>410.88600000000002</v>
      </c>
      <c r="M15" s="6">
        <v>129.244</v>
      </c>
      <c r="N15" s="6">
        <v>710.99099999999999</v>
      </c>
      <c r="O15" s="6">
        <v>735.99</v>
      </c>
      <c r="P15" s="6">
        <v>1262.039</v>
      </c>
      <c r="Q15" s="6">
        <v>1474.9359999999999</v>
      </c>
    </row>
    <row r="16" spans="1:17" x14ac:dyDescent="0.35">
      <c r="A16" s="6" t="s">
        <v>179</v>
      </c>
      <c r="B16" s="6" t="s">
        <v>92</v>
      </c>
      <c r="C16" s="6">
        <v>3529.7</v>
      </c>
      <c r="D16" s="6">
        <v>4556.3</v>
      </c>
      <c r="E16" s="6">
        <v>5563</v>
      </c>
      <c r="F16" s="6">
        <v>4879.7</v>
      </c>
      <c r="G16" s="6">
        <v>5408.3</v>
      </c>
      <c r="H16" s="6">
        <v>5520.516664300666</v>
      </c>
      <c r="I16" s="6">
        <v>6814.0690296387984</v>
      </c>
      <c r="J16" s="6">
        <v>6770.4737903962068</v>
      </c>
      <c r="K16" s="6">
        <v>9149.4205007425699</v>
      </c>
      <c r="L16" s="6">
        <v>4693.174</v>
      </c>
      <c r="M16" s="6">
        <v>1207.366</v>
      </c>
      <c r="N16" s="6">
        <v>6388.7839999999997</v>
      </c>
      <c r="O16" s="6">
        <v>8455.6830000000009</v>
      </c>
      <c r="P16" s="6">
        <v>9574.3850000000002</v>
      </c>
      <c r="Q16" s="6">
        <v>10595.556</v>
      </c>
    </row>
    <row r="17" spans="1:17" x14ac:dyDescent="0.35">
      <c r="A17" s="6" t="s">
        <v>179</v>
      </c>
      <c r="B17" s="6" t="s">
        <v>93</v>
      </c>
      <c r="C17" s="6">
        <v>2659.3</v>
      </c>
      <c r="D17" s="6">
        <v>2724.8</v>
      </c>
      <c r="E17" s="6">
        <v>3408.7</v>
      </c>
      <c r="F17" s="6">
        <v>2890.7</v>
      </c>
      <c r="G17" s="6">
        <v>3236.5</v>
      </c>
      <c r="H17" s="6">
        <v>4238.3838402813572</v>
      </c>
      <c r="I17" s="6">
        <v>4483.8325389286583</v>
      </c>
      <c r="J17" s="6">
        <v>4862.9397830786293</v>
      </c>
      <c r="K17" s="6">
        <v>4860.4727591760202</v>
      </c>
      <c r="L17" s="6">
        <v>2670.0520000000001</v>
      </c>
      <c r="M17" s="6">
        <v>1140.0319999999999</v>
      </c>
      <c r="N17" s="6">
        <v>3689.3429999999998</v>
      </c>
      <c r="O17" s="6">
        <v>4060.009</v>
      </c>
      <c r="P17" s="6">
        <v>4918.4040000000005</v>
      </c>
      <c r="Q17" s="6">
        <v>5239.6419999999998</v>
      </c>
    </row>
    <row r="18" spans="1:17" x14ac:dyDescent="0.35">
      <c r="A18" s="6" t="s">
        <v>179</v>
      </c>
      <c r="B18" s="6" t="s">
        <v>90</v>
      </c>
      <c r="C18" s="6">
        <v>3230.4</v>
      </c>
      <c r="D18" s="6">
        <v>4224.6000000000004</v>
      </c>
      <c r="E18" s="6">
        <v>3994.8</v>
      </c>
      <c r="F18" s="6">
        <v>4259.3</v>
      </c>
      <c r="G18" s="6">
        <v>3952.1</v>
      </c>
      <c r="H18" s="6">
        <v>3916</v>
      </c>
      <c r="I18" s="6">
        <v>4440.6810950791814</v>
      </c>
      <c r="J18" s="6">
        <v>5127.1280004389691</v>
      </c>
      <c r="K18" s="6">
        <v>4948.3625259935097</v>
      </c>
      <c r="L18" s="6">
        <v>2456.4211604000002</v>
      </c>
      <c r="M18" s="6">
        <v>1068.876</v>
      </c>
      <c r="N18" s="6">
        <v>3823.0459999999998</v>
      </c>
      <c r="O18" s="6">
        <v>5775.1379999999999</v>
      </c>
      <c r="P18" s="6">
        <v>6081.4849999999997</v>
      </c>
      <c r="Q18" s="6">
        <v>7359.8890000000001</v>
      </c>
    </row>
    <row r="19" spans="1:17" x14ac:dyDescent="0.35">
      <c r="A19" s="6" t="s">
        <v>179</v>
      </c>
      <c r="B19" s="6" t="s">
        <v>91</v>
      </c>
      <c r="C19" s="6">
        <v>2881.6</v>
      </c>
      <c r="D19" s="6">
        <v>3381.8</v>
      </c>
      <c r="E19" s="6">
        <v>4100.3999999999996</v>
      </c>
      <c r="F19" s="6">
        <v>4367.6000000000004</v>
      </c>
      <c r="G19" s="6">
        <v>4472.2</v>
      </c>
      <c r="H19" s="6">
        <v>4754.4480478553342</v>
      </c>
      <c r="I19" s="6">
        <v>4440.9845696664461</v>
      </c>
      <c r="J19" s="6">
        <v>5180.053844652035</v>
      </c>
      <c r="K19" s="6">
        <v>5064.4563812529004</v>
      </c>
      <c r="L19" s="6">
        <v>2627.0459486999998</v>
      </c>
      <c r="M19" s="6">
        <v>1086.635</v>
      </c>
      <c r="N19" s="6">
        <v>3988.8789999999999</v>
      </c>
      <c r="O19" s="6">
        <v>5324.6270000000004</v>
      </c>
      <c r="P19" s="6">
        <v>5701.0339999999997</v>
      </c>
      <c r="Q19" s="6">
        <v>6329.8940000000002</v>
      </c>
    </row>
    <row r="20" spans="1:17" x14ac:dyDescent="0.35">
      <c r="A20" s="6" t="s">
        <v>179</v>
      </c>
      <c r="B20" s="6" t="s">
        <v>211</v>
      </c>
      <c r="C20" s="6">
        <v>2661.7</v>
      </c>
      <c r="D20" s="6">
        <v>2638.6</v>
      </c>
      <c r="E20" s="6">
        <v>2630.5</v>
      </c>
      <c r="F20" s="6">
        <v>3295.1</v>
      </c>
      <c r="G20" s="6">
        <v>3080.5</v>
      </c>
      <c r="H20" s="6">
        <v>3507.7715108005882</v>
      </c>
      <c r="I20" s="6">
        <v>3557.7034821046032</v>
      </c>
      <c r="J20" s="6">
        <v>3925.6530275593132</v>
      </c>
      <c r="K20" s="6">
        <v>4269.16572987575</v>
      </c>
      <c r="L20" s="6">
        <v>3684.4949999999999</v>
      </c>
      <c r="M20" s="6">
        <v>922.41300000000001</v>
      </c>
      <c r="N20" s="6">
        <v>4117.0950000000003</v>
      </c>
      <c r="O20" s="6">
        <v>5724.79</v>
      </c>
      <c r="P20" s="6">
        <v>6216.3</v>
      </c>
      <c r="Q20" s="6">
        <v>10078.573</v>
      </c>
    </row>
    <row r="21" spans="1:17" x14ac:dyDescent="0.35">
      <c r="A21" s="6" t="s">
        <v>179</v>
      </c>
      <c r="B21" s="6" t="s">
        <v>94</v>
      </c>
      <c r="C21" s="6">
        <v>101.6</v>
      </c>
      <c r="D21" s="6">
        <v>83.5</v>
      </c>
      <c r="E21" s="6">
        <v>94.9</v>
      </c>
      <c r="F21" s="6">
        <v>134.69999999999999</v>
      </c>
      <c r="G21" s="6">
        <v>132</v>
      </c>
      <c r="H21" s="6">
        <v>228</v>
      </c>
      <c r="I21" s="6">
        <v>236.34768712962989</v>
      </c>
      <c r="J21" s="6">
        <v>326.67422916374579</v>
      </c>
      <c r="K21" s="6">
        <v>231.94311178718701</v>
      </c>
      <c r="L21" s="6">
        <v>76.820890899999995</v>
      </c>
      <c r="M21" s="6">
        <v>27.146000000000001</v>
      </c>
      <c r="N21" s="6">
        <v>111.658</v>
      </c>
      <c r="O21" s="6">
        <v>164.10599999999999</v>
      </c>
      <c r="P21" s="6">
        <v>194.1</v>
      </c>
      <c r="Q21" s="6">
        <v>266.78500000000003</v>
      </c>
    </row>
    <row r="22" spans="1:17" x14ac:dyDescent="0.35">
      <c r="A22" s="6" t="s">
        <v>179</v>
      </c>
      <c r="B22" s="6" t="s">
        <v>212</v>
      </c>
      <c r="C22" s="6">
        <v>205.3</v>
      </c>
      <c r="D22" s="6">
        <v>331.8</v>
      </c>
      <c r="E22" s="6">
        <v>269</v>
      </c>
      <c r="F22" s="6">
        <v>231.6</v>
      </c>
      <c r="G22" s="6">
        <v>356.4</v>
      </c>
      <c r="H22" s="6">
        <v>327.57875629628029</v>
      </c>
      <c r="I22" s="6">
        <v>582.17920540339765</v>
      </c>
      <c r="J22" s="6">
        <v>1170.502739104224</v>
      </c>
      <c r="K22" s="6">
        <v>325.72791377912398</v>
      </c>
      <c r="L22" s="6">
        <v>283.55200000000002</v>
      </c>
      <c r="M22" s="6">
        <v>103.73699999999999</v>
      </c>
      <c r="N22" s="6">
        <v>367.98899999999998</v>
      </c>
      <c r="O22" s="6">
        <v>501.08699999999999</v>
      </c>
      <c r="P22" s="6">
        <v>651.59400000000005</v>
      </c>
      <c r="Q22" s="6">
        <v>906.09799999999996</v>
      </c>
    </row>
    <row r="23" spans="1:17" x14ac:dyDescent="0.35">
      <c r="A23" s="6" t="s">
        <v>81</v>
      </c>
      <c r="B23" s="6" t="s">
        <v>179</v>
      </c>
      <c r="C23" s="6">
        <v>3838.8</v>
      </c>
      <c r="D23" s="6">
        <v>4846.6000000000004</v>
      </c>
      <c r="E23" s="6">
        <v>5264</v>
      </c>
      <c r="F23" s="6">
        <v>5128</v>
      </c>
      <c r="G23" s="6">
        <v>5384</v>
      </c>
      <c r="H23" s="6">
        <v>5661.252351500003</v>
      </c>
      <c r="I23" s="6">
        <v>5353.1297390000018</v>
      </c>
      <c r="J23" s="6">
        <v>6364.0807820000018</v>
      </c>
      <c r="K23" s="6">
        <v>6982.8380784999999</v>
      </c>
      <c r="L23" s="6">
        <v>3858.2160000000008</v>
      </c>
      <c r="M23" s="6">
        <v>1928.94</v>
      </c>
      <c r="N23" s="6">
        <v>6450.7830000000004</v>
      </c>
      <c r="O23" s="6">
        <v>8963.6020000000008</v>
      </c>
      <c r="P23" s="6">
        <v>11279.798000000001</v>
      </c>
      <c r="Q23" s="6">
        <v>11017.07</v>
      </c>
    </row>
    <row r="24" spans="1:17" x14ac:dyDescent="0.35">
      <c r="A24" s="6" t="s">
        <v>81</v>
      </c>
      <c r="B24" s="6" t="s">
        <v>81</v>
      </c>
      <c r="C24" s="6">
        <v>1686.1</v>
      </c>
      <c r="D24" s="6">
        <v>1819.5</v>
      </c>
      <c r="E24" s="6">
        <v>2817.7</v>
      </c>
      <c r="F24" s="6">
        <v>2579.1999999999998</v>
      </c>
      <c r="G24" s="6">
        <v>2270.4763215551488</v>
      </c>
      <c r="H24" s="6">
        <v>2377.845894876888</v>
      </c>
      <c r="I24" s="6">
        <v>2582.6187811373488</v>
      </c>
      <c r="J24" s="6">
        <v>2497.4975217596011</v>
      </c>
      <c r="K24" s="6">
        <v>2172.9626577131198</v>
      </c>
      <c r="L24" s="6">
        <v>1888.9280000000001</v>
      </c>
      <c r="M24" s="6">
        <v>1160.7919999999999</v>
      </c>
      <c r="N24" s="6">
        <v>1999.4269999999999</v>
      </c>
      <c r="O24" s="6">
        <v>4415.9570000000003</v>
      </c>
      <c r="P24" s="6">
        <v>3704.7139999999999</v>
      </c>
      <c r="Q24" s="6">
        <v>3422.2240000000002</v>
      </c>
    </row>
    <row r="25" spans="1:17" x14ac:dyDescent="0.35">
      <c r="A25" s="6" t="s">
        <v>81</v>
      </c>
      <c r="B25" s="6" t="s">
        <v>82</v>
      </c>
      <c r="C25" s="6">
        <v>193.7</v>
      </c>
      <c r="D25" s="6">
        <v>110.2</v>
      </c>
      <c r="E25" s="6">
        <v>116</v>
      </c>
      <c r="F25" s="6">
        <v>101.3</v>
      </c>
      <c r="G25" s="6">
        <v>44.7</v>
      </c>
      <c r="H25" s="6">
        <v>167.37509801823779</v>
      </c>
      <c r="I25" s="6">
        <v>126.1994627430286</v>
      </c>
      <c r="J25" s="6">
        <v>90.153873346168723</v>
      </c>
      <c r="K25" s="6">
        <v>111.182053315166</v>
      </c>
      <c r="L25" s="6">
        <v>35.725000000000001</v>
      </c>
      <c r="M25" s="6">
        <v>13.88</v>
      </c>
      <c r="N25" s="6">
        <v>628.52</v>
      </c>
      <c r="O25" s="6">
        <v>287.27999999999997</v>
      </c>
      <c r="P25" s="6">
        <v>196.667</v>
      </c>
      <c r="Q25" s="6">
        <v>740.53899999999999</v>
      </c>
    </row>
    <row r="26" spans="1:17" x14ac:dyDescent="0.35">
      <c r="A26" s="6" t="s">
        <v>81</v>
      </c>
      <c r="B26" s="6" t="s">
        <v>83</v>
      </c>
      <c r="C26" s="6">
        <v>77.400000000000006</v>
      </c>
      <c r="D26" s="6">
        <v>116.5</v>
      </c>
      <c r="E26" s="6">
        <v>211.9</v>
      </c>
      <c r="F26" s="6">
        <v>162.80000000000001</v>
      </c>
      <c r="G26" s="6">
        <v>87.8</v>
      </c>
      <c r="H26" s="6">
        <v>110.32638983234131</v>
      </c>
      <c r="I26" s="6">
        <v>96.116752633969682</v>
      </c>
      <c r="J26" s="6">
        <v>364.00575081472078</v>
      </c>
      <c r="K26" s="6">
        <v>286.77214824583501</v>
      </c>
      <c r="L26" s="6">
        <v>97.664000000000001</v>
      </c>
      <c r="M26" s="6">
        <v>15.335000000000001</v>
      </c>
      <c r="N26" s="6">
        <v>486.13</v>
      </c>
      <c r="O26" s="6">
        <v>227.61699999999999</v>
      </c>
      <c r="P26" s="6">
        <v>425.27499999999998</v>
      </c>
      <c r="Q26" s="6">
        <v>576.49300000000005</v>
      </c>
    </row>
    <row r="27" spans="1:17" x14ac:dyDescent="0.35">
      <c r="A27" s="6" t="s">
        <v>81</v>
      </c>
      <c r="B27" s="6" t="s">
        <v>84</v>
      </c>
      <c r="C27" s="6">
        <v>298.60000000000002</v>
      </c>
      <c r="D27" s="6">
        <v>524.79999999999995</v>
      </c>
      <c r="E27" s="6">
        <v>452.4</v>
      </c>
      <c r="F27" s="6">
        <v>549.1</v>
      </c>
      <c r="G27" s="6">
        <v>628.4</v>
      </c>
      <c r="H27" s="6">
        <v>493.45404782932798</v>
      </c>
      <c r="I27" s="6">
        <v>314.20277375265971</v>
      </c>
      <c r="J27" s="6">
        <v>820.90408211376359</v>
      </c>
      <c r="K27" s="6">
        <v>734.52986206252695</v>
      </c>
      <c r="L27" s="6">
        <v>293.96300000000002</v>
      </c>
      <c r="M27" s="6">
        <v>63.396999999999998</v>
      </c>
      <c r="N27" s="6">
        <v>717.31399999999996</v>
      </c>
      <c r="O27" s="6">
        <v>961.12400000000002</v>
      </c>
      <c r="P27" s="6">
        <v>1528.0119999999999</v>
      </c>
      <c r="Q27" s="6">
        <v>1344.569</v>
      </c>
    </row>
    <row r="28" spans="1:17" x14ac:dyDescent="0.35">
      <c r="A28" s="6" t="s">
        <v>81</v>
      </c>
      <c r="B28" s="6" t="s">
        <v>85</v>
      </c>
      <c r="C28" s="6">
        <v>339.3</v>
      </c>
      <c r="D28" s="6">
        <v>321.39999999999998</v>
      </c>
      <c r="E28" s="6">
        <v>244.9</v>
      </c>
      <c r="F28" s="6">
        <v>170.1</v>
      </c>
      <c r="G28" s="6">
        <v>345.7</v>
      </c>
      <c r="H28" s="6">
        <v>178.11094838453579</v>
      </c>
      <c r="I28" s="6">
        <v>217.5337700757581</v>
      </c>
      <c r="J28" s="6">
        <v>303.92123455886423</v>
      </c>
      <c r="K28" s="6">
        <v>751.17327360452202</v>
      </c>
      <c r="L28" s="6">
        <v>287.99799999999999</v>
      </c>
      <c r="M28" s="6">
        <v>169.995</v>
      </c>
      <c r="N28" s="6">
        <v>460.62099999999998</v>
      </c>
      <c r="O28" s="6">
        <v>506.846</v>
      </c>
      <c r="P28" s="6">
        <v>616.96799999999996</v>
      </c>
      <c r="Q28" s="6">
        <v>1671.4690000000001</v>
      </c>
    </row>
    <row r="29" spans="1:17" x14ac:dyDescent="0.35">
      <c r="A29" s="6" t="s">
        <v>81</v>
      </c>
      <c r="B29" s="6" t="s">
        <v>86</v>
      </c>
      <c r="C29" s="6">
        <v>162.80000000000001</v>
      </c>
      <c r="D29" s="6">
        <v>349</v>
      </c>
      <c r="E29" s="6">
        <v>234</v>
      </c>
      <c r="F29" s="6">
        <v>247.9</v>
      </c>
      <c r="G29" s="6">
        <v>372.7</v>
      </c>
      <c r="H29" s="6">
        <v>369.71340315954831</v>
      </c>
      <c r="I29" s="6">
        <v>412.31327846186741</v>
      </c>
      <c r="J29" s="6">
        <v>528.90483918270252</v>
      </c>
      <c r="K29" s="6">
        <v>560.58160995949004</v>
      </c>
      <c r="L29" s="6">
        <v>227.56700000000001</v>
      </c>
      <c r="M29" s="6">
        <v>168.81100000000001</v>
      </c>
      <c r="N29" s="6">
        <v>429.28</v>
      </c>
      <c r="O29" s="6">
        <v>581.83600000000001</v>
      </c>
      <c r="P29" s="6">
        <v>919.96600000000001</v>
      </c>
      <c r="Q29" s="6">
        <v>981.15599999999995</v>
      </c>
    </row>
    <row r="30" spans="1:17" x14ac:dyDescent="0.35">
      <c r="A30" s="6" t="s">
        <v>81</v>
      </c>
      <c r="B30" s="6" t="s">
        <v>89</v>
      </c>
      <c r="C30" s="6">
        <v>53</v>
      </c>
      <c r="D30" s="6">
        <v>97</v>
      </c>
      <c r="E30" s="6">
        <v>57.1</v>
      </c>
      <c r="F30" s="6">
        <v>10.5</v>
      </c>
      <c r="G30" s="6">
        <v>78.7</v>
      </c>
      <c r="H30" s="6">
        <v>92.626219216709472</v>
      </c>
      <c r="I30" s="6">
        <v>83.035965694925892</v>
      </c>
      <c r="J30" s="6">
        <v>85.378645449660539</v>
      </c>
      <c r="K30" s="6">
        <v>58.287356022114402</v>
      </c>
      <c r="L30" s="6">
        <v>25.952000000000002</v>
      </c>
      <c r="M30" s="6">
        <v>89.884</v>
      </c>
      <c r="N30" s="6">
        <v>167.18700000000001</v>
      </c>
      <c r="O30" s="6">
        <v>312.678</v>
      </c>
      <c r="P30" s="6">
        <v>221.25200000000001</v>
      </c>
      <c r="Q30" s="6">
        <v>106.41200000000001</v>
      </c>
    </row>
    <row r="31" spans="1:17" x14ac:dyDescent="0.35">
      <c r="A31" s="6" t="s">
        <v>81</v>
      </c>
      <c r="B31" s="6" t="s">
        <v>87</v>
      </c>
      <c r="C31" s="6">
        <v>172.9</v>
      </c>
      <c r="D31" s="6">
        <v>291.8</v>
      </c>
      <c r="E31" s="6">
        <v>198.7</v>
      </c>
      <c r="F31" s="6">
        <v>215.9</v>
      </c>
      <c r="G31" s="6">
        <v>244</v>
      </c>
      <c r="H31" s="6">
        <v>280.44334338858022</v>
      </c>
      <c r="I31" s="6">
        <v>303.31928323202902</v>
      </c>
      <c r="J31" s="6">
        <v>223.5355150245916</v>
      </c>
      <c r="K31" s="6">
        <v>560.73228470380604</v>
      </c>
      <c r="L31" s="6">
        <v>296.11399999999998</v>
      </c>
      <c r="M31" s="6">
        <v>46.615000000000002</v>
      </c>
      <c r="N31" s="6">
        <v>284.14100000000002</v>
      </c>
      <c r="O31" s="6">
        <v>426.09199999999998</v>
      </c>
      <c r="P31" s="6">
        <v>403.30099999999999</v>
      </c>
      <c r="Q31" s="6">
        <v>173.172</v>
      </c>
    </row>
    <row r="32" spans="1:17" x14ac:dyDescent="0.35">
      <c r="A32" s="6" t="s">
        <v>81</v>
      </c>
      <c r="B32" s="6" t="s">
        <v>88</v>
      </c>
      <c r="C32" s="6">
        <v>48.1</v>
      </c>
      <c r="D32" s="6">
        <v>12</v>
      </c>
      <c r="E32" s="6">
        <v>11.2</v>
      </c>
      <c r="F32" s="6">
        <v>45.3</v>
      </c>
      <c r="G32" s="6">
        <v>4.2</v>
      </c>
      <c r="H32" s="6">
        <v>10.594003060962301</v>
      </c>
      <c r="I32" s="6">
        <v>9.0480566872816137</v>
      </c>
      <c r="J32" s="6">
        <v>30.885528291818851</v>
      </c>
      <c r="K32" s="6">
        <v>14.5702629211931</v>
      </c>
      <c r="L32" s="6">
        <v>2.0990000000000002</v>
      </c>
      <c r="M32" s="6">
        <v>18.687000000000001</v>
      </c>
      <c r="N32" s="6">
        <v>78.513999999999996</v>
      </c>
      <c r="O32" s="6">
        <v>12.144</v>
      </c>
      <c r="P32" s="6">
        <v>95.566999999999993</v>
      </c>
      <c r="Q32" s="6">
        <v>50.177999999999997</v>
      </c>
    </row>
    <row r="33" spans="1:17" x14ac:dyDescent="0.35">
      <c r="A33" s="6" t="s">
        <v>81</v>
      </c>
      <c r="B33" s="6" t="s">
        <v>92</v>
      </c>
      <c r="C33" s="6">
        <v>195.9</v>
      </c>
      <c r="D33" s="6">
        <v>498.1</v>
      </c>
      <c r="E33" s="6">
        <v>281.60000000000002</v>
      </c>
      <c r="F33" s="6">
        <v>262.7</v>
      </c>
      <c r="G33" s="6">
        <v>435</v>
      </c>
      <c r="H33" s="6">
        <v>637.71608571178706</v>
      </c>
      <c r="I33" s="6">
        <v>393.64551801289099</v>
      </c>
      <c r="J33" s="6">
        <v>326.02857512045091</v>
      </c>
      <c r="K33" s="6">
        <v>847.00686411662605</v>
      </c>
      <c r="L33" s="6">
        <v>246.262</v>
      </c>
      <c r="M33" s="6">
        <v>70.832999999999998</v>
      </c>
      <c r="N33" s="6">
        <v>441.541</v>
      </c>
      <c r="O33" s="6">
        <v>574.62400000000002</v>
      </c>
      <c r="P33" s="6">
        <v>1746.8409999999999</v>
      </c>
      <c r="Q33" s="6">
        <v>629.35500000000002</v>
      </c>
    </row>
    <row r="34" spans="1:17" x14ac:dyDescent="0.35">
      <c r="A34" s="6" t="s">
        <v>81</v>
      </c>
      <c r="B34" s="6" t="s">
        <v>93</v>
      </c>
      <c r="C34" s="6">
        <v>59.2</v>
      </c>
      <c r="D34" s="6">
        <v>126.6</v>
      </c>
      <c r="E34" s="6">
        <v>171.2</v>
      </c>
      <c r="F34" s="6">
        <v>137.5</v>
      </c>
      <c r="G34" s="6">
        <v>137.9</v>
      </c>
      <c r="H34" s="6">
        <v>80.029162279277642</v>
      </c>
      <c r="I34" s="6">
        <v>150.89195518792019</v>
      </c>
      <c r="J34" s="6">
        <v>209.10883508328851</v>
      </c>
      <c r="K34" s="6">
        <v>124.623060766583</v>
      </c>
      <c r="L34" s="6">
        <v>100.63</v>
      </c>
      <c r="M34" s="6">
        <v>55.436999999999998</v>
      </c>
      <c r="N34" s="6">
        <v>162.78700000000001</v>
      </c>
      <c r="O34" s="6">
        <v>153.452</v>
      </c>
      <c r="P34" s="6">
        <v>188.495</v>
      </c>
      <c r="Q34" s="6">
        <v>286.18200000000002</v>
      </c>
    </row>
    <row r="35" spans="1:17" x14ac:dyDescent="0.35">
      <c r="A35" s="6" t="s">
        <v>81</v>
      </c>
      <c r="B35" s="6" t="s">
        <v>90</v>
      </c>
      <c r="C35" s="6">
        <v>19.899999999999999</v>
      </c>
      <c r="D35" s="6">
        <v>66</v>
      </c>
      <c r="E35" s="6">
        <v>5.8</v>
      </c>
      <c r="F35" s="6">
        <v>12.6</v>
      </c>
      <c r="G35" s="6">
        <v>30.5</v>
      </c>
      <c r="H35" s="6">
        <v>11.98704860292721</v>
      </c>
      <c r="I35" s="6">
        <v>32.058669550006108</v>
      </c>
      <c r="J35" s="6">
        <v>90.117059642420941</v>
      </c>
      <c r="K35" s="6">
        <v>12.5382223929739</v>
      </c>
      <c r="L35" s="6">
        <v>11.884</v>
      </c>
      <c r="M35" s="6">
        <v>2.4620000000000002</v>
      </c>
      <c r="N35" s="6">
        <v>27.937000000000001</v>
      </c>
      <c r="O35" s="6">
        <v>9.8279999999999994</v>
      </c>
      <c r="P35" s="6">
        <v>168.94300000000001</v>
      </c>
      <c r="Q35" s="6">
        <v>112.834</v>
      </c>
    </row>
    <row r="36" spans="1:17" x14ac:dyDescent="0.35">
      <c r="A36" s="6" t="s">
        <v>81</v>
      </c>
      <c r="B36" s="6" t="s">
        <v>91</v>
      </c>
      <c r="C36" s="6">
        <v>12.2</v>
      </c>
      <c r="D36" s="6">
        <v>31.8</v>
      </c>
      <c r="E36" s="6">
        <v>24.7</v>
      </c>
      <c r="F36" s="6">
        <v>20.9</v>
      </c>
      <c r="G36" s="6">
        <v>6.2</v>
      </c>
      <c r="H36" s="6">
        <v>28.133375401184381</v>
      </c>
      <c r="I36" s="6">
        <v>52.82834359805036</v>
      </c>
      <c r="J36" s="6">
        <v>55.642163514001382</v>
      </c>
      <c r="K36" s="6">
        <v>21.266957421428099</v>
      </c>
      <c r="L36" s="6">
        <v>11.118</v>
      </c>
      <c r="M36" s="6">
        <v>4.8860000000000001</v>
      </c>
      <c r="N36" s="6">
        <v>13.632</v>
      </c>
      <c r="O36" s="6">
        <v>5.21</v>
      </c>
      <c r="P36" s="6">
        <v>209.89599999999999</v>
      </c>
      <c r="Q36" s="6">
        <v>348.024</v>
      </c>
    </row>
    <row r="37" spans="1:17" x14ac:dyDescent="0.35">
      <c r="A37" s="6" t="s">
        <v>81</v>
      </c>
      <c r="B37" s="6" t="s">
        <v>211</v>
      </c>
      <c r="C37" s="6">
        <v>465.1</v>
      </c>
      <c r="D37" s="6">
        <v>434.2</v>
      </c>
      <c r="E37" s="6">
        <v>406.9</v>
      </c>
      <c r="F37" s="6">
        <v>601.6</v>
      </c>
      <c r="G37" s="6">
        <v>639.6</v>
      </c>
      <c r="H37" s="6">
        <v>758.13086876544935</v>
      </c>
      <c r="I37" s="6">
        <v>567.02146135217345</v>
      </c>
      <c r="J37" s="6">
        <v>671.26444262541906</v>
      </c>
      <c r="K37" s="6">
        <v>701.53534220012398</v>
      </c>
      <c r="L37" s="6">
        <v>324.56799999999998</v>
      </c>
      <c r="M37" s="6">
        <v>41.652999999999999</v>
      </c>
      <c r="N37" s="6">
        <v>484.93200000000002</v>
      </c>
      <c r="O37" s="6">
        <v>432.66800000000001</v>
      </c>
      <c r="P37" s="6">
        <v>787.64499999999998</v>
      </c>
      <c r="Q37" s="6">
        <v>494.101</v>
      </c>
    </row>
    <row r="38" spans="1:17" x14ac:dyDescent="0.35">
      <c r="A38" s="6" t="s">
        <v>81</v>
      </c>
      <c r="B38" s="6" t="s">
        <v>94</v>
      </c>
      <c r="C38" s="6">
        <v>15.1</v>
      </c>
      <c r="D38" s="6">
        <v>0</v>
      </c>
      <c r="E38" s="6">
        <v>0</v>
      </c>
      <c r="F38" s="6">
        <v>0</v>
      </c>
      <c r="G38" s="6">
        <v>17</v>
      </c>
      <c r="H38" s="6">
        <v>7.1521939988001746</v>
      </c>
      <c r="I38" s="6">
        <v>3.5079694801660679</v>
      </c>
      <c r="J38" s="6">
        <v>8.0035531657163563</v>
      </c>
      <c r="K38" s="6">
        <v>12.935109818781299</v>
      </c>
      <c r="L38" s="6">
        <v>0</v>
      </c>
      <c r="M38" s="6">
        <v>0</v>
      </c>
      <c r="N38" s="6">
        <v>5.6890000000000001</v>
      </c>
      <c r="O38" s="6">
        <v>9.9489999999999998</v>
      </c>
      <c r="P38" s="6">
        <v>13.35</v>
      </c>
      <c r="Q38" s="6">
        <v>3.4710000000000001</v>
      </c>
    </row>
    <row r="39" spans="1:17" x14ac:dyDescent="0.35">
      <c r="A39" s="6" t="s">
        <v>81</v>
      </c>
      <c r="B39" s="6" t="s">
        <v>212</v>
      </c>
      <c r="C39" s="6">
        <v>39.5</v>
      </c>
      <c r="D39" s="6">
        <v>47.5</v>
      </c>
      <c r="E39" s="6">
        <v>29.8</v>
      </c>
      <c r="F39" s="6">
        <v>10.8</v>
      </c>
      <c r="G39" s="6">
        <v>41.1</v>
      </c>
      <c r="H39" s="6">
        <v>57.614268973444467</v>
      </c>
      <c r="I39" s="6">
        <v>8.7876973999258112</v>
      </c>
      <c r="J39" s="6">
        <v>58.729162306812029</v>
      </c>
      <c r="K39" s="6">
        <v>12.1410132357077</v>
      </c>
      <c r="L39" s="6">
        <v>7.7439999999999998</v>
      </c>
      <c r="M39" s="6">
        <v>6.2729999999999997</v>
      </c>
      <c r="N39" s="6">
        <v>63.131</v>
      </c>
      <c r="O39" s="6">
        <v>46.296999999999997</v>
      </c>
      <c r="P39" s="6">
        <v>52.905999999999999</v>
      </c>
      <c r="Q39" s="6">
        <v>76.891000000000005</v>
      </c>
    </row>
    <row r="40" spans="1:17" x14ac:dyDescent="0.35">
      <c r="A40" s="6" t="s">
        <v>82</v>
      </c>
      <c r="B40" s="6" t="s">
        <v>179</v>
      </c>
      <c r="C40" s="6">
        <v>3622.5</v>
      </c>
      <c r="D40" s="6">
        <v>3178.9</v>
      </c>
      <c r="E40" s="6">
        <v>3231.2</v>
      </c>
      <c r="F40" s="6">
        <v>3663.5</v>
      </c>
      <c r="G40" s="6">
        <v>3800.8</v>
      </c>
      <c r="H40" s="6">
        <v>3817.9277659999971</v>
      </c>
      <c r="I40" s="6">
        <v>3249.585071</v>
      </c>
      <c r="J40" s="6">
        <v>3705.7790159999981</v>
      </c>
      <c r="K40" s="6">
        <v>4311.1967635000001</v>
      </c>
      <c r="L40" s="6">
        <v>2530.2299999999991</v>
      </c>
      <c r="M40" s="6">
        <v>838.71300000000019</v>
      </c>
      <c r="N40" s="6">
        <v>4317.8729999999996</v>
      </c>
      <c r="O40" s="6">
        <v>3677.7350000000001</v>
      </c>
      <c r="P40" s="6">
        <v>4850.2449999999999</v>
      </c>
      <c r="Q40" s="6">
        <v>5289.1049999999996</v>
      </c>
    </row>
    <row r="41" spans="1:17" x14ac:dyDescent="0.35">
      <c r="A41" s="6" t="s">
        <v>82</v>
      </c>
      <c r="B41" s="6" t="s">
        <v>81</v>
      </c>
      <c r="C41" s="6">
        <v>71.7</v>
      </c>
      <c r="D41" s="6">
        <v>85.9</v>
      </c>
      <c r="E41" s="6">
        <v>63</v>
      </c>
      <c r="F41" s="6">
        <v>101.3</v>
      </c>
      <c r="G41" s="6">
        <v>19.2</v>
      </c>
      <c r="H41" s="6">
        <v>99.458961662103533</v>
      </c>
      <c r="I41" s="6">
        <v>10.14370408916108</v>
      </c>
      <c r="J41" s="6">
        <v>28.767059352432071</v>
      </c>
      <c r="K41" s="6">
        <v>45.377465799541802</v>
      </c>
      <c r="L41" s="6">
        <v>78.108999999999995</v>
      </c>
      <c r="M41" s="6">
        <v>5.5860000000000003</v>
      </c>
      <c r="N41" s="6">
        <v>134.49600000000001</v>
      </c>
      <c r="O41" s="6">
        <v>49.515999999999998</v>
      </c>
      <c r="P41" s="6">
        <v>133.108</v>
      </c>
      <c r="Q41" s="6">
        <v>114.898</v>
      </c>
    </row>
    <row r="42" spans="1:17" x14ac:dyDescent="0.35">
      <c r="A42" s="6" t="s">
        <v>82</v>
      </c>
      <c r="B42" s="6" t="s">
        <v>82</v>
      </c>
      <c r="C42" s="6">
        <v>1609.4</v>
      </c>
      <c r="D42" s="6">
        <v>1337.9</v>
      </c>
      <c r="E42" s="6">
        <v>1699.2</v>
      </c>
      <c r="F42" s="6">
        <v>1520.4</v>
      </c>
      <c r="G42" s="6">
        <v>2085.0523231154862</v>
      </c>
      <c r="H42" s="6">
        <v>1280.247223478056</v>
      </c>
      <c r="I42" s="6">
        <v>1328.071299885484</v>
      </c>
      <c r="J42" s="6">
        <v>1698.87766724467</v>
      </c>
      <c r="K42" s="6">
        <v>1624.13055457481</v>
      </c>
      <c r="L42" s="6">
        <v>1209.4680000000001</v>
      </c>
      <c r="M42" s="6">
        <v>323.303</v>
      </c>
      <c r="N42" s="6">
        <v>2214.9229999999998</v>
      </c>
      <c r="O42" s="6">
        <v>1553.7819999999999</v>
      </c>
      <c r="P42" s="6">
        <v>1787.51</v>
      </c>
      <c r="Q42" s="6">
        <v>1234.0060000000001</v>
      </c>
    </row>
    <row r="43" spans="1:17" x14ac:dyDescent="0.35">
      <c r="A43" s="6" t="s">
        <v>82</v>
      </c>
      <c r="B43" s="6" t="s">
        <v>83</v>
      </c>
      <c r="C43" s="6">
        <v>95.4</v>
      </c>
      <c r="D43" s="6">
        <v>141.6</v>
      </c>
      <c r="E43" s="6">
        <v>101.3</v>
      </c>
      <c r="F43" s="6">
        <v>128.1</v>
      </c>
      <c r="G43" s="6">
        <v>129.4</v>
      </c>
      <c r="H43" s="6">
        <v>190.36087855301821</v>
      </c>
      <c r="I43" s="6">
        <v>69.771142099814</v>
      </c>
      <c r="J43" s="6">
        <v>68.757244757915373</v>
      </c>
      <c r="K43" s="6">
        <v>188.88976421949701</v>
      </c>
      <c r="L43" s="6">
        <v>47.307000000000002</v>
      </c>
      <c r="M43" s="6">
        <v>36.07</v>
      </c>
      <c r="N43" s="6">
        <v>204.53399999999999</v>
      </c>
      <c r="O43" s="6">
        <v>175.47300000000001</v>
      </c>
      <c r="P43" s="6">
        <v>276.209</v>
      </c>
      <c r="Q43" s="6">
        <v>285.99900000000002</v>
      </c>
    </row>
    <row r="44" spans="1:17" x14ac:dyDescent="0.35">
      <c r="A44" s="6" t="s">
        <v>82</v>
      </c>
      <c r="B44" s="6" t="s">
        <v>84</v>
      </c>
      <c r="C44" s="6">
        <v>84.4</v>
      </c>
      <c r="D44" s="6">
        <v>119</v>
      </c>
      <c r="E44" s="6">
        <v>55</v>
      </c>
      <c r="F44" s="6">
        <v>31.1</v>
      </c>
      <c r="G44" s="6">
        <v>38.1</v>
      </c>
      <c r="H44" s="6">
        <v>58.52647144733595</v>
      </c>
      <c r="I44" s="6">
        <v>119.1497285948153</v>
      </c>
      <c r="J44" s="6">
        <v>35.395895873269971</v>
      </c>
      <c r="K44" s="6">
        <v>44.943263724642598</v>
      </c>
      <c r="L44" s="6">
        <v>68.119</v>
      </c>
      <c r="M44" s="6">
        <v>60.164999999999999</v>
      </c>
      <c r="N44" s="6">
        <v>124.096</v>
      </c>
      <c r="O44" s="6">
        <v>81.453000000000003</v>
      </c>
      <c r="P44" s="6">
        <v>96.195999999999998</v>
      </c>
      <c r="Q44" s="6">
        <v>259.89699999999999</v>
      </c>
    </row>
    <row r="45" spans="1:17" x14ac:dyDescent="0.35">
      <c r="A45" s="6" t="s">
        <v>82</v>
      </c>
      <c r="B45" s="6" t="s">
        <v>85</v>
      </c>
      <c r="C45" s="6">
        <v>103</v>
      </c>
      <c r="D45" s="6">
        <v>61.9</v>
      </c>
      <c r="E45" s="6">
        <v>69.8</v>
      </c>
      <c r="F45" s="6">
        <v>67.900000000000006</v>
      </c>
      <c r="G45" s="6">
        <v>48</v>
      </c>
      <c r="H45" s="6">
        <v>57.548841336175727</v>
      </c>
      <c r="I45" s="6">
        <v>51.742633770760463</v>
      </c>
      <c r="J45" s="6">
        <v>58.764092868987532</v>
      </c>
      <c r="K45" s="6">
        <v>17.710447311519601</v>
      </c>
      <c r="L45" s="6">
        <v>26.849</v>
      </c>
      <c r="M45" s="6">
        <v>24.416</v>
      </c>
      <c r="N45" s="6">
        <v>56.088000000000001</v>
      </c>
      <c r="O45" s="6">
        <v>82.518000000000001</v>
      </c>
      <c r="P45" s="6">
        <v>233.34100000000001</v>
      </c>
      <c r="Q45" s="6">
        <v>112.4</v>
      </c>
    </row>
    <row r="46" spans="1:17" x14ac:dyDescent="0.35">
      <c r="A46" s="6" t="s">
        <v>82</v>
      </c>
      <c r="B46" s="6" t="s">
        <v>86</v>
      </c>
      <c r="C46" s="6">
        <v>96.4</v>
      </c>
      <c r="D46" s="6">
        <v>126.3</v>
      </c>
      <c r="E46" s="6">
        <v>91.5</v>
      </c>
      <c r="F46" s="6">
        <v>159.69999999999999</v>
      </c>
      <c r="G46" s="6">
        <v>80.2</v>
      </c>
      <c r="H46" s="6">
        <v>140.36935601385051</v>
      </c>
      <c r="I46" s="6">
        <v>124.9694456944115</v>
      </c>
      <c r="J46" s="6">
        <v>93.53512279478683</v>
      </c>
      <c r="K46" s="6">
        <v>320.17465151413199</v>
      </c>
      <c r="L46" s="6">
        <v>187.328</v>
      </c>
      <c r="M46" s="6">
        <v>32.988999999999997</v>
      </c>
      <c r="N46" s="6">
        <v>207.303</v>
      </c>
      <c r="O46" s="6">
        <v>205.71700000000001</v>
      </c>
      <c r="P46" s="6">
        <v>248.75800000000001</v>
      </c>
      <c r="Q46" s="6">
        <v>282.06700000000001</v>
      </c>
    </row>
    <row r="47" spans="1:17" x14ac:dyDescent="0.35">
      <c r="A47" s="6" t="s">
        <v>82</v>
      </c>
      <c r="B47" s="6" t="s">
        <v>89</v>
      </c>
      <c r="C47" s="6">
        <v>443.6</v>
      </c>
      <c r="D47" s="6">
        <v>313.89999999999998</v>
      </c>
      <c r="E47" s="6">
        <v>343.7</v>
      </c>
      <c r="F47" s="6">
        <v>395.8</v>
      </c>
      <c r="G47" s="6">
        <v>452.1</v>
      </c>
      <c r="H47" s="6">
        <v>379.76734332253801</v>
      </c>
      <c r="I47" s="6">
        <v>173.9976735074834</v>
      </c>
      <c r="J47" s="6">
        <v>262.93366889168988</v>
      </c>
      <c r="K47" s="6">
        <v>668.07705911821199</v>
      </c>
      <c r="L47" s="6">
        <v>236.53700000000001</v>
      </c>
      <c r="M47" s="6">
        <v>42.033999999999999</v>
      </c>
      <c r="N47" s="6">
        <v>290.94900000000001</v>
      </c>
      <c r="O47" s="6">
        <v>260.33499999999998</v>
      </c>
      <c r="P47" s="6">
        <v>450.05099999999999</v>
      </c>
      <c r="Q47" s="6">
        <v>431.17899999999997</v>
      </c>
    </row>
    <row r="48" spans="1:17" x14ac:dyDescent="0.35">
      <c r="A48" s="6" t="s">
        <v>82</v>
      </c>
      <c r="B48" s="6" t="s">
        <v>87</v>
      </c>
      <c r="C48" s="6">
        <v>403.6</v>
      </c>
      <c r="D48" s="6">
        <v>398.2</v>
      </c>
      <c r="E48" s="6">
        <v>312.89999999999998</v>
      </c>
      <c r="F48" s="6">
        <v>530.4</v>
      </c>
      <c r="G48" s="6">
        <v>379.2</v>
      </c>
      <c r="H48" s="6">
        <v>552.61444301404526</v>
      </c>
      <c r="I48" s="6">
        <v>385.61969831913842</v>
      </c>
      <c r="J48" s="6">
        <v>498.40296056516712</v>
      </c>
      <c r="K48" s="6">
        <v>481.80015928413201</v>
      </c>
      <c r="L48" s="6">
        <v>152.17400000000001</v>
      </c>
      <c r="M48" s="6">
        <v>102.38800000000001</v>
      </c>
      <c r="N48" s="6">
        <v>409.29500000000002</v>
      </c>
      <c r="O48" s="6">
        <v>443.28100000000001</v>
      </c>
      <c r="P48" s="6">
        <v>723.28899999999999</v>
      </c>
      <c r="Q48" s="6">
        <v>698.16</v>
      </c>
    </row>
    <row r="49" spans="1:17" x14ac:dyDescent="0.35">
      <c r="A49" s="6" t="s">
        <v>82</v>
      </c>
      <c r="B49" s="6" t="s">
        <v>88</v>
      </c>
      <c r="C49" s="6">
        <v>158.1</v>
      </c>
      <c r="D49" s="6">
        <v>50.4</v>
      </c>
      <c r="E49" s="6">
        <v>81.5</v>
      </c>
      <c r="F49" s="6">
        <v>165.6</v>
      </c>
      <c r="G49" s="6">
        <v>114.2</v>
      </c>
      <c r="H49" s="6">
        <v>341.76516656025842</v>
      </c>
      <c r="I49" s="6">
        <v>191.34347223157451</v>
      </c>
      <c r="J49" s="6">
        <v>197.44689976690611</v>
      </c>
      <c r="K49" s="6">
        <v>101.177917015088</v>
      </c>
      <c r="L49" s="6">
        <v>96.093999999999994</v>
      </c>
      <c r="M49" s="6">
        <v>62.417000000000002</v>
      </c>
      <c r="N49" s="6">
        <v>155.59399999999999</v>
      </c>
      <c r="O49" s="6">
        <v>122.934</v>
      </c>
      <c r="P49" s="6">
        <v>130.84800000000001</v>
      </c>
      <c r="Q49" s="6">
        <v>160.15799999999999</v>
      </c>
    </row>
    <row r="50" spans="1:17" x14ac:dyDescent="0.35">
      <c r="A50" s="6" t="s">
        <v>82</v>
      </c>
      <c r="B50" s="6" t="s">
        <v>92</v>
      </c>
      <c r="C50" s="6">
        <v>251.1</v>
      </c>
      <c r="D50" s="6">
        <v>256.10000000000002</v>
      </c>
      <c r="E50" s="6">
        <v>197.4</v>
      </c>
      <c r="F50" s="6">
        <v>188.6</v>
      </c>
      <c r="G50" s="6">
        <v>172.8</v>
      </c>
      <c r="H50" s="6">
        <v>306.98914783156118</v>
      </c>
      <c r="I50" s="6">
        <v>255.2236137169279</v>
      </c>
      <c r="J50" s="6">
        <v>270.92092479839317</v>
      </c>
      <c r="K50" s="6">
        <v>276.03423066017302</v>
      </c>
      <c r="L50" s="6">
        <v>141.84100000000001</v>
      </c>
      <c r="M50" s="6">
        <v>40.514000000000003</v>
      </c>
      <c r="N50" s="6">
        <v>211.435</v>
      </c>
      <c r="O50" s="6">
        <v>195.59899999999999</v>
      </c>
      <c r="P50" s="6">
        <v>297.09699999999998</v>
      </c>
      <c r="Q50" s="6">
        <v>329.09399999999999</v>
      </c>
    </row>
    <row r="51" spans="1:17" x14ac:dyDescent="0.35">
      <c r="A51" s="6" t="s">
        <v>82</v>
      </c>
      <c r="B51" s="6" t="s">
        <v>93</v>
      </c>
      <c r="C51" s="6">
        <v>112.5</v>
      </c>
      <c r="D51" s="6">
        <v>75.3</v>
      </c>
      <c r="E51" s="6">
        <v>63</v>
      </c>
      <c r="F51" s="6">
        <v>47.2</v>
      </c>
      <c r="G51" s="6">
        <v>40.700000000000003</v>
      </c>
      <c r="H51" s="6">
        <v>83.709576156666714</v>
      </c>
      <c r="I51" s="6">
        <v>4.6512466697281933</v>
      </c>
      <c r="J51" s="6">
        <v>174.26921718489359</v>
      </c>
      <c r="K51" s="6">
        <v>101.19917288020901</v>
      </c>
      <c r="L51" s="6">
        <v>38.561999999999998</v>
      </c>
      <c r="M51" s="6">
        <v>11.58</v>
      </c>
      <c r="N51" s="6">
        <v>87.475999999999999</v>
      </c>
      <c r="O51" s="6">
        <v>83.935000000000002</v>
      </c>
      <c r="P51" s="6">
        <v>61.22</v>
      </c>
      <c r="Q51" s="6">
        <v>341.08300000000003</v>
      </c>
    </row>
    <row r="52" spans="1:17" x14ac:dyDescent="0.35">
      <c r="A52" s="6" t="s">
        <v>82</v>
      </c>
      <c r="B52" s="6" t="s">
        <v>90</v>
      </c>
      <c r="C52" s="6">
        <v>0</v>
      </c>
      <c r="D52" s="6">
        <v>8.4</v>
      </c>
      <c r="E52" s="6">
        <v>7.9</v>
      </c>
      <c r="F52" s="6">
        <v>16.7</v>
      </c>
      <c r="G52" s="6">
        <v>0.9</v>
      </c>
      <c r="H52" s="6">
        <v>22.296837841735549</v>
      </c>
      <c r="I52" s="6">
        <v>15.82333672273362</v>
      </c>
      <c r="J52" s="6">
        <v>9.6422239933774136</v>
      </c>
      <c r="K52" s="6">
        <v>32.735841456015798</v>
      </c>
      <c r="L52" s="6">
        <v>13.603999999999999</v>
      </c>
      <c r="M52" s="6">
        <v>4.5039999999999996</v>
      </c>
      <c r="N52" s="6">
        <v>17.577999999999999</v>
      </c>
      <c r="O52" s="6">
        <v>22.632000000000001</v>
      </c>
      <c r="P52" s="6">
        <v>32.865000000000002</v>
      </c>
      <c r="Q52" s="6">
        <v>128.28399999999999</v>
      </c>
    </row>
    <row r="53" spans="1:17" x14ac:dyDescent="0.35">
      <c r="A53" s="6" t="s">
        <v>82</v>
      </c>
      <c r="B53" s="6" t="s">
        <v>91</v>
      </c>
      <c r="C53" s="6">
        <v>3.5</v>
      </c>
      <c r="D53" s="6">
        <v>6.4</v>
      </c>
      <c r="E53" s="6">
        <v>2.2999999999999998</v>
      </c>
      <c r="F53" s="6">
        <v>28.7</v>
      </c>
      <c r="G53" s="6">
        <v>21.2</v>
      </c>
      <c r="H53" s="6">
        <v>19.58278657720728</v>
      </c>
      <c r="I53" s="6">
        <v>2.5316401986029842</v>
      </c>
      <c r="J53" s="6">
        <v>3.1205211865932871</v>
      </c>
      <c r="K53" s="6">
        <v>32.185243997098397</v>
      </c>
      <c r="L53" s="6">
        <v>54.316000000000003</v>
      </c>
      <c r="M53" s="6">
        <v>6.6790000000000003</v>
      </c>
      <c r="N53" s="6">
        <v>3.4609999999999999</v>
      </c>
      <c r="O53" s="6">
        <v>23.832000000000001</v>
      </c>
      <c r="P53" s="6">
        <v>30.213999999999999</v>
      </c>
      <c r="Q53" s="6">
        <v>85.125</v>
      </c>
    </row>
    <row r="54" spans="1:17" x14ac:dyDescent="0.35">
      <c r="A54" s="6" t="s">
        <v>82</v>
      </c>
      <c r="B54" s="6" t="s">
        <v>211</v>
      </c>
      <c r="C54" s="6">
        <v>175.1</v>
      </c>
      <c r="D54" s="6">
        <v>168.4</v>
      </c>
      <c r="E54" s="6">
        <v>123</v>
      </c>
      <c r="F54" s="6">
        <v>277.89999999999998</v>
      </c>
      <c r="G54" s="6">
        <v>173.7</v>
      </c>
      <c r="H54" s="6">
        <v>237.44065694817701</v>
      </c>
      <c r="I54" s="6">
        <v>446.1731417638855</v>
      </c>
      <c r="J54" s="6">
        <v>254.52451163760739</v>
      </c>
      <c r="K54" s="6">
        <v>338.79058363192598</v>
      </c>
      <c r="L54" s="6">
        <v>174.98400000000001</v>
      </c>
      <c r="M54" s="6">
        <v>71.902000000000001</v>
      </c>
      <c r="N54" s="6">
        <v>182.047</v>
      </c>
      <c r="O54" s="6">
        <v>321.24599999999998</v>
      </c>
      <c r="P54" s="6">
        <v>254.91</v>
      </c>
      <c r="Q54" s="6">
        <v>734.346</v>
      </c>
    </row>
    <row r="55" spans="1:17" x14ac:dyDescent="0.35">
      <c r="A55" s="6" t="s">
        <v>82</v>
      </c>
      <c r="B55" s="6" t="s">
        <v>94</v>
      </c>
      <c r="C55" s="6">
        <v>2.6</v>
      </c>
      <c r="D55" s="6">
        <v>0</v>
      </c>
      <c r="E55" s="6">
        <v>0</v>
      </c>
      <c r="F55" s="6">
        <v>0</v>
      </c>
      <c r="G55" s="6">
        <v>0.9</v>
      </c>
      <c r="H55" s="6">
        <v>19.436939742521531</v>
      </c>
      <c r="I55" s="6">
        <v>2.364213901032425</v>
      </c>
      <c r="J55" s="6">
        <v>0.99857125330906671</v>
      </c>
      <c r="K55" s="6">
        <v>1.55960583033506</v>
      </c>
      <c r="L55" s="6">
        <v>0</v>
      </c>
      <c r="M55" s="6">
        <v>0</v>
      </c>
      <c r="N55" s="6">
        <v>1.056</v>
      </c>
      <c r="O55" s="6">
        <v>13.27</v>
      </c>
      <c r="P55" s="6">
        <v>7.133</v>
      </c>
      <c r="Q55" s="6">
        <v>7.3890000000000002</v>
      </c>
    </row>
    <row r="56" spans="1:17" x14ac:dyDescent="0.35">
      <c r="A56" s="6" t="s">
        <v>82</v>
      </c>
      <c r="B56" s="6" t="s">
        <v>212</v>
      </c>
      <c r="C56" s="6">
        <v>12.3</v>
      </c>
      <c r="D56" s="6">
        <v>29.1</v>
      </c>
      <c r="E56" s="6">
        <v>19.7</v>
      </c>
      <c r="F56" s="6">
        <v>35.6</v>
      </c>
      <c r="G56" s="6">
        <v>45.1</v>
      </c>
      <c r="H56" s="6">
        <v>27.81313551474658</v>
      </c>
      <c r="I56" s="6">
        <v>68.009079834446183</v>
      </c>
      <c r="J56" s="6">
        <v>49.422433829999868</v>
      </c>
      <c r="K56" s="6">
        <v>36.410802482666099</v>
      </c>
      <c r="L56" s="6">
        <v>4.9379999999999997</v>
      </c>
      <c r="M56" s="6">
        <v>14.166</v>
      </c>
      <c r="N56" s="6">
        <v>17.542000000000002</v>
      </c>
      <c r="O56" s="6">
        <v>42.212000000000003</v>
      </c>
      <c r="P56" s="6">
        <v>87.495999999999995</v>
      </c>
      <c r="Q56" s="6">
        <v>85.02</v>
      </c>
    </row>
    <row r="57" spans="1:17" x14ac:dyDescent="0.35">
      <c r="A57" s="6" t="s">
        <v>83</v>
      </c>
      <c r="B57" s="6" t="s">
        <v>179</v>
      </c>
      <c r="C57" s="6">
        <v>2167.4</v>
      </c>
      <c r="D57" s="6">
        <v>1825.4</v>
      </c>
      <c r="E57" s="6">
        <v>2703.7</v>
      </c>
      <c r="F57" s="6">
        <v>3096.4</v>
      </c>
      <c r="G57" s="6">
        <v>2944.9</v>
      </c>
      <c r="H57" s="6">
        <v>3002.682658000002</v>
      </c>
      <c r="I57" s="6">
        <v>3595.273000000001</v>
      </c>
      <c r="J57" s="6">
        <v>4049.564121999998</v>
      </c>
      <c r="K57" s="6">
        <v>4302.9134139999996</v>
      </c>
      <c r="L57" s="6">
        <v>2408.627</v>
      </c>
      <c r="M57" s="6">
        <v>653.75299999999993</v>
      </c>
      <c r="N57" s="6">
        <v>2814.1759999999999</v>
      </c>
      <c r="O57" s="6">
        <v>3173.453</v>
      </c>
      <c r="P57" s="6">
        <v>3115.7359999999999</v>
      </c>
      <c r="Q57" s="6">
        <v>3869.5630000000001</v>
      </c>
    </row>
    <row r="58" spans="1:17" x14ac:dyDescent="0.35">
      <c r="A58" s="6" t="s">
        <v>83</v>
      </c>
      <c r="B58" s="6" t="s">
        <v>81</v>
      </c>
      <c r="C58" s="6">
        <v>54.2</v>
      </c>
      <c r="D58" s="6">
        <v>39.299999999999997</v>
      </c>
      <c r="E58" s="6">
        <v>30.9</v>
      </c>
      <c r="F58" s="6">
        <v>162.80000000000001</v>
      </c>
      <c r="G58" s="6">
        <v>114</v>
      </c>
      <c r="H58" s="6">
        <v>22.561904518631469</v>
      </c>
      <c r="I58" s="6">
        <v>118.0213654785651</v>
      </c>
      <c r="J58" s="6">
        <v>37.691049999999997</v>
      </c>
      <c r="K58" s="6">
        <v>171.19919037691901</v>
      </c>
      <c r="L58" s="6">
        <v>47.863999999999997</v>
      </c>
      <c r="M58" s="6">
        <v>27.684000000000001</v>
      </c>
      <c r="N58" s="6">
        <v>167.81700000000001</v>
      </c>
      <c r="O58" s="6">
        <v>152.566</v>
      </c>
      <c r="P58" s="6">
        <v>115.899</v>
      </c>
      <c r="Q58" s="6">
        <v>103.148</v>
      </c>
    </row>
    <row r="59" spans="1:17" x14ac:dyDescent="0.35">
      <c r="A59" s="6" t="s">
        <v>83</v>
      </c>
      <c r="B59" s="6" t="s">
        <v>82</v>
      </c>
      <c r="C59" s="6">
        <v>380.7</v>
      </c>
      <c r="D59" s="6">
        <v>88.6</v>
      </c>
      <c r="E59" s="6">
        <v>86.8</v>
      </c>
      <c r="F59" s="6">
        <v>128.1</v>
      </c>
      <c r="G59" s="6">
        <v>149.1</v>
      </c>
      <c r="H59" s="6">
        <v>81.668299278622669</v>
      </c>
      <c r="I59" s="6">
        <v>121.3999813288746</v>
      </c>
      <c r="J59" s="6">
        <v>109.7310839999999</v>
      </c>
      <c r="K59" s="6">
        <v>114.484211318265</v>
      </c>
      <c r="L59" s="6">
        <v>10.747</v>
      </c>
      <c r="M59" s="6">
        <v>14.717000000000001</v>
      </c>
      <c r="N59" s="6">
        <v>53.204000000000001</v>
      </c>
      <c r="O59" s="6">
        <v>68.518000000000001</v>
      </c>
      <c r="P59" s="6">
        <v>132.209</v>
      </c>
      <c r="Q59" s="6">
        <v>101.46299999999999</v>
      </c>
    </row>
    <row r="60" spans="1:17" x14ac:dyDescent="0.35">
      <c r="A60" s="6" t="s">
        <v>83</v>
      </c>
      <c r="B60" s="6" t="s">
        <v>83</v>
      </c>
      <c r="C60" s="6">
        <v>705.8</v>
      </c>
      <c r="D60" s="6">
        <v>885.9</v>
      </c>
      <c r="E60" s="6">
        <v>1412</v>
      </c>
      <c r="F60" s="6">
        <v>1306.3</v>
      </c>
      <c r="G60" s="6">
        <v>1085.5999999999999</v>
      </c>
      <c r="H60" s="6">
        <v>1251.109513750413</v>
      </c>
      <c r="I60" s="6">
        <v>1517.0192733344179</v>
      </c>
      <c r="J60" s="6">
        <v>1039.7548949999989</v>
      </c>
      <c r="K60" s="6">
        <v>2151.8444027413898</v>
      </c>
      <c r="L60" s="6">
        <v>1267.4870000000001</v>
      </c>
      <c r="M60" s="6">
        <v>296.255</v>
      </c>
      <c r="N60" s="6">
        <v>454.44299999999998</v>
      </c>
      <c r="O60" s="6">
        <v>905.87699999999995</v>
      </c>
      <c r="P60" s="6">
        <v>977.96500000000003</v>
      </c>
      <c r="Q60" s="6">
        <v>912.3</v>
      </c>
    </row>
    <row r="61" spans="1:17" x14ac:dyDescent="0.35">
      <c r="A61" s="6" t="s">
        <v>83</v>
      </c>
      <c r="B61" s="6" t="s">
        <v>84</v>
      </c>
      <c r="C61" s="6">
        <v>18.5</v>
      </c>
      <c r="D61" s="6">
        <v>28</v>
      </c>
      <c r="E61" s="6">
        <v>42.6</v>
      </c>
      <c r="F61" s="6">
        <v>77.3</v>
      </c>
      <c r="G61" s="6">
        <v>77</v>
      </c>
      <c r="H61" s="6">
        <v>90.700031626299378</v>
      </c>
      <c r="I61" s="6">
        <v>68.0332913293622</v>
      </c>
      <c r="J61" s="6">
        <v>699.54307100000017</v>
      </c>
      <c r="K61" s="6">
        <v>82.014834380494904</v>
      </c>
      <c r="L61" s="6">
        <v>23.911000000000001</v>
      </c>
      <c r="M61" s="6">
        <v>22.683</v>
      </c>
      <c r="N61" s="6">
        <v>102.667</v>
      </c>
      <c r="O61" s="6">
        <v>46.42</v>
      </c>
      <c r="P61" s="6">
        <v>8.5920000000000005</v>
      </c>
      <c r="Q61" s="6">
        <v>181.90199999999999</v>
      </c>
    </row>
    <row r="62" spans="1:17" x14ac:dyDescent="0.35">
      <c r="A62" s="6" t="s">
        <v>83</v>
      </c>
      <c r="B62" s="6" t="s">
        <v>85</v>
      </c>
      <c r="C62" s="6">
        <v>89.6</v>
      </c>
      <c r="D62" s="6">
        <v>6.8</v>
      </c>
      <c r="E62" s="6">
        <v>65.3</v>
      </c>
      <c r="F62" s="6">
        <v>36.9</v>
      </c>
      <c r="G62" s="6">
        <v>76.599999999999994</v>
      </c>
      <c r="H62" s="6">
        <v>44.34101107686751</v>
      </c>
      <c r="I62" s="6">
        <v>135.8812945768511</v>
      </c>
      <c r="J62" s="6">
        <v>313.56666499999989</v>
      </c>
      <c r="K62" s="6">
        <v>52.7145202951844</v>
      </c>
      <c r="L62" s="6">
        <v>20.503</v>
      </c>
      <c r="M62" s="6">
        <v>12.804</v>
      </c>
      <c r="N62" s="6">
        <v>31.518999999999998</v>
      </c>
      <c r="O62" s="6">
        <v>11.211</v>
      </c>
      <c r="P62" s="6">
        <v>106.131</v>
      </c>
      <c r="Q62" s="6">
        <v>66.972999999999999</v>
      </c>
    </row>
    <row r="63" spans="1:17" x14ac:dyDescent="0.35">
      <c r="A63" s="6" t="s">
        <v>83</v>
      </c>
      <c r="B63" s="6" t="s">
        <v>86</v>
      </c>
      <c r="C63" s="6">
        <v>87.4</v>
      </c>
      <c r="D63" s="6">
        <v>102.8</v>
      </c>
      <c r="E63" s="6">
        <v>185.8</v>
      </c>
      <c r="F63" s="6">
        <v>262.7</v>
      </c>
      <c r="G63" s="6">
        <v>189.5</v>
      </c>
      <c r="H63" s="6">
        <v>219.19750907874021</v>
      </c>
      <c r="I63" s="6">
        <v>175.95346398017369</v>
      </c>
      <c r="J63" s="6">
        <v>139.21013999999991</v>
      </c>
      <c r="K63" s="6">
        <v>418.18167653768899</v>
      </c>
      <c r="L63" s="6">
        <v>255.28299999999999</v>
      </c>
      <c r="M63" s="6">
        <v>64.116</v>
      </c>
      <c r="N63" s="6">
        <v>346.541</v>
      </c>
      <c r="O63" s="6">
        <v>390.98</v>
      </c>
      <c r="P63" s="6">
        <v>251.898</v>
      </c>
      <c r="Q63" s="6">
        <v>212.84399999999999</v>
      </c>
    </row>
    <row r="64" spans="1:17" x14ac:dyDescent="0.35">
      <c r="A64" s="6" t="s">
        <v>83</v>
      </c>
      <c r="B64" s="6" t="s">
        <v>89</v>
      </c>
      <c r="C64" s="6">
        <v>63.6</v>
      </c>
      <c r="D64" s="6">
        <v>52.4</v>
      </c>
      <c r="E64" s="6">
        <v>45.9</v>
      </c>
      <c r="F64" s="6">
        <v>53.3</v>
      </c>
      <c r="G64" s="6">
        <v>94.6</v>
      </c>
      <c r="H64" s="6">
        <v>74.975817273455519</v>
      </c>
      <c r="I64" s="6">
        <v>82.262732966368148</v>
      </c>
      <c r="J64" s="6">
        <v>207.630999</v>
      </c>
      <c r="K64" s="6">
        <v>175.33954847430999</v>
      </c>
      <c r="L64" s="6">
        <v>61.503</v>
      </c>
      <c r="M64" s="6">
        <v>11.792999999999999</v>
      </c>
      <c r="N64" s="6">
        <v>147.006</v>
      </c>
      <c r="O64" s="6">
        <v>79.799000000000007</v>
      </c>
      <c r="P64" s="6">
        <v>146.89599999999999</v>
      </c>
      <c r="Q64" s="6">
        <v>93.323999999999998</v>
      </c>
    </row>
    <row r="65" spans="1:17" x14ac:dyDescent="0.35">
      <c r="A65" s="6" t="s">
        <v>83</v>
      </c>
      <c r="B65" s="6" t="s">
        <v>87</v>
      </c>
      <c r="C65" s="6">
        <v>45.9</v>
      </c>
      <c r="D65" s="6">
        <v>81.8</v>
      </c>
      <c r="E65" s="6">
        <v>76.900000000000006</v>
      </c>
      <c r="F65" s="6">
        <v>117.1</v>
      </c>
      <c r="G65" s="6">
        <v>180.7</v>
      </c>
      <c r="H65" s="6">
        <v>108.2108313613878</v>
      </c>
      <c r="I65" s="6">
        <v>144.42595150823189</v>
      </c>
      <c r="J65" s="6">
        <v>226.24594300000001</v>
      </c>
      <c r="K65" s="6">
        <v>80.918096676636907</v>
      </c>
      <c r="L65" s="6">
        <v>66.116</v>
      </c>
      <c r="M65" s="6">
        <v>30.114999999999998</v>
      </c>
      <c r="N65" s="6">
        <v>165.64500000000001</v>
      </c>
      <c r="O65" s="6">
        <v>109.497</v>
      </c>
      <c r="P65" s="6">
        <v>221.977</v>
      </c>
      <c r="Q65" s="6">
        <v>132.166</v>
      </c>
    </row>
    <row r="66" spans="1:17" x14ac:dyDescent="0.35">
      <c r="A66" s="6" t="s">
        <v>83</v>
      </c>
      <c r="B66" s="6" t="s">
        <v>88</v>
      </c>
      <c r="C66" s="6">
        <v>73.3</v>
      </c>
      <c r="D66" s="6">
        <v>14.9</v>
      </c>
      <c r="E66" s="6">
        <v>2.1</v>
      </c>
      <c r="F66" s="6">
        <v>10.8</v>
      </c>
      <c r="G66" s="6">
        <v>67.3</v>
      </c>
      <c r="H66" s="6">
        <v>18.833457049024322</v>
      </c>
      <c r="I66" s="6">
        <v>30.587863936269279</v>
      </c>
      <c r="J66" s="6">
        <v>118.444248</v>
      </c>
      <c r="K66" s="6">
        <v>8.6869427884509491</v>
      </c>
      <c r="L66" s="6">
        <v>4.101</v>
      </c>
      <c r="M66" s="6">
        <v>2.8780000000000001</v>
      </c>
      <c r="N66" s="6">
        <v>25.117000000000001</v>
      </c>
      <c r="O66" s="6">
        <v>15.141999999999999</v>
      </c>
      <c r="P66" s="6">
        <v>34.466000000000001</v>
      </c>
      <c r="Q66" s="6">
        <v>12.1</v>
      </c>
    </row>
    <row r="67" spans="1:17" x14ac:dyDescent="0.35">
      <c r="A67" s="6" t="s">
        <v>83</v>
      </c>
      <c r="B67" s="6" t="s">
        <v>92</v>
      </c>
      <c r="C67" s="6">
        <v>283.8</v>
      </c>
      <c r="D67" s="6">
        <v>145.80000000000001</v>
      </c>
      <c r="E67" s="6">
        <v>322.10000000000002</v>
      </c>
      <c r="F67" s="6">
        <v>284.8</v>
      </c>
      <c r="G67" s="6">
        <v>367.1</v>
      </c>
      <c r="H67" s="6">
        <v>567.48089175135533</v>
      </c>
      <c r="I67" s="6">
        <v>395.25639638442789</v>
      </c>
      <c r="J67" s="6">
        <v>245.41837799999999</v>
      </c>
      <c r="K67" s="6">
        <v>264.13102263628599</v>
      </c>
      <c r="L67" s="6">
        <v>189.477</v>
      </c>
      <c r="M67" s="6">
        <v>31.027999999999999</v>
      </c>
      <c r="N67" s="6">
        <v>544.923</v>
      </c>
      <c r="O67" s="6">
        <v>537.822</v>
      </c>
      <c r="P67" s="6">
        <v>259.03399999999999</v>
      </c>
      <c r="Q67" s="6">
        <v>690.72699999999998</v>
      </c>
    </row>
    <row r="68" spans="1:17" x14ac:dyDescent="0.35">
      <c r="A68" s="6" t="s">
        <v>83</v>
      </c>
      <c r="B68" s="6" t="s">
        <v>93</v>
      </c>
      <c r="C68" s="6">
        <v>242.5</v>
      </c>
      <c r="D68" s="6">
        <v>185.6</v>
      </c>
      <c r="E68" s="6">
        <v>205.5</v>
      </c>
      <c r="F68" s="6">
        <v>198.8</v>
      </c>
      <c r="G68" s="6">
        <v>183.5</v>
      </c>
      <c r="H68" s="6">
        <v>182.49920891846151</v>
      </c>
      <c r="I68" s="6">
        <v>325.79795251264829</v>
      </c>
      <c r="J68" s="6">
        <v>311.64871199999988</v>
      </c>
      <c r="K68" s="6">
        <v>521.316836463556</v>
      </c>
      <c r="L68" s="6">
        <v>192.68299999999999</v>
      </c>
      <c r="M68" s="6">
        <v>105.846</v>
      </c>
      <c r="N68" s="6">
        <v>339.387</v>
      </c>
      <c r="O68" s="6">
        <v>422.52199999999999</v>
      </c>
      <c r="P68" s="6">
        <v>496.82</v>
      </c>
      <c r="Q68" s="6">
        <v>752.09400000000005</v>
      </c>
    </row>
    <row r="69" spans="1:17" x14ac:dyDescent="0.35">
      <c r="A69" s="6" t="s">
        <v>83</v>
      </c>
      <c r="B69" s="6" t="s">
        <v>90</v>
      </c>
      <c r="C69" s="6">
        <v>0</v>
      </c>
      <c r="D69" s="6">
        <v>3.1</v>
      </c>
      <c r="E69" s="6">
        <v>6.4</v>
      </c>
      <c r="F69" s="6">
        <v>2.2000000000000002</v>
      </c>
      <c r="G69" s="6">
        <v>23.1</v>
      </c>
      <c r="H69" s="6">
        <v>50.00219668495955</v>
      </c>
      <c r="I69" s="6">
        <v>17.581081193003211</v>
      </c>
      <c r="J69" s="6">
        <v>19.047975999999991</v>
      </c>
      <c r="K69" s="6">
        <v>21.222495065145502</v>
      </c>
      <c r="L69" s="6">
        <v>25.454999999999998</v>
      </c>
      <c r="M69" s="6">
        <v>5.2519999999999998</v>
      </c>
      <c r="N69" s="6">
        <v>35.491</v>
      </c>
      <c r="O69" s="6">
        <v>13.16</v>
      </c>
      <c r="P69" s="6">
        <v>28.812000000000001</v>
      </c>
      <c r="Q69" s="6">
        <v>80.149000000000001</v>
      </c>
    </row>
    <row r="70" spans="1:17" x14ac:dyDescent="0.35">
      <c r="A70" s="6" t="s">
        <v>83</v>
      </c>
      <c r="B70" s="6" t="s">
        <v>91</v>
      </c>
      <c r="C70" s="6">
        <v>0</v>
      </c>
      <c r="D70" s="6">
        <v>7.6</v>
      </c>
      <c r="E70" s="6">
        <v>5.0999999999999996</v>
      </c>
      <c r="F70" s="6">
        <v>8.9</v>
      </c>
      <c r="G70" s="6">
        <v>51.1</v>
      </c>
      <c r="H70" s="6">
        <v>33.316156871875513</v>
      </c>
      <c r="I70" s="6">
        <v>76.926780662637725</v>
      </c>
      <c r="J70" s="6">
        <v>14.459368</v>
      </c>
      <c r="K70" s="6">
        <v>6.96356071462007</v>
      </c>
      <c r="L70" s="6">
        <v>5.7240000000000002</v>
      </c>
      <c r="M70" s="6">
        <v>2.9430000000000001</v>
      </c>
      <c r="N70" s="6">
        <v>18.663</v>
      </c>
      <c r="O70" s="6">
        <v>17.593</v>
      </c>
      <c r="P70" s="6">
        <v>3.6</v>
      </c>
      <c r="Q70" s="6">
        <v>126.63200000000001</v>
      </c>
    </row>
    <row r="71" spans="1:17" x14ac:dyDescent="0.35">
      <c r="A71" s="6" t="s">
        <v>83</v>
      </c>
      <c r="B71" s="6" t="s">
        <v>211</v>
      </c>
      <c r="C71" s="6">
        <v>82.3</v>
      </c>
      <c r="D71" s="6">
        <v>162.69999999999999</v>
      </c>
      <c r="E71" s="6">
        <v>177.6</v>
      </c>
      <c r="F71" s="6">
        <v>404.3</v>
      </c>
      <c r="G71" s="6">
        <v>179.3</v>
      </c>
      <c r="H71" s="6">
        <v>194.97371804330871</v>
      </c>
      <c r="I71" s="6">
        <v>314.65835665331389</v>
      </c>
      <c r="J71" s="6">
        <v>119.31500699999999</v>
      </c>
      <c r="K71" s="6">
        <v>192.81911886498901</v>
      </c>
      <c r="L71" s="6">
        <v>220.114</v>
      </c>
      <c r="M71" s="6">
        <v>21.45</v>
      </c>
      <c r="N71" s="6">
        <v>327.60599999999999</v>
      </c>
      <c r="O71" s="6">
        <v>369.93</v>
      </c>
      <c r="P71" s="6">
        <v>232.399</v>
      </c>
      <c r="Q71" s="6">
        <v>297.17599999999999</v>
      </c>
    </row>
    <row r="72" spans="1:17" x14ac:dyDescent="0.35">
      <c r="A72" s="6" t="s">
        <v>83</v>
      </c>
      <c r="B72" s="6" t="s">
        <v>94</v>
      </c>
      <c r="C72" s="6">
        <v>4.5999999999999996</v>
      </c>
      <c r="D72" s="6">
        <v>0</v>
      </c>
      <c r="E72" s="6">
        <v>0</v>
      </c>
      <c r="F72" s="6">
        <v>0</v>
      </c>
      <c r="G72" s="6">
        <v>38.6</v>
      </c>
      <c r="H72" s="6">
        <v>21.25810667148804</v>
      </c>
      <c r="I72" s="6">
        <v>20.728977721582439</v>
      </c>
      <c r="J72" s="6">
        <v>78.601351999999991</v>
      </c>
      <c r="K72" s="6">
        <v>32.344821441058002</v>
      </c>
      <c r="L72" s="6">
        <v>1.82</v>
      </c>
      <c r="M72" s="6">
        <v>0</v>
      </c>
      <c r="N72" s="6">
        <v>3.3370000000000002</v>
      </c>
      <c r="O72" s="6">
        <v>4.7720000000000002</v>
      </c>
      <c r="P72" s="6">
        <v>3.2829999999999999</v>
      </c>
      <c r="Q72" s="6">
        <v>2.5590000000000002</v>
      </c>
    </row>
    <row r="73" spans="1:17" x14ac:dyDescent="0.35">
      <c r="A73" s="6" t="s">
        <v>83</v>
      </c>
      <c r="B73" s="6" t="s">
        <v>212</v>
      </c>
      <c r="C73" s="6">
        <v>35.1</v>
      </c>
      <c r="D73" s="6">
        <v>20.100000000000001</v>
      </c>
      <c r="E73" s="6">
        <v>38.5</v>
      </c>
      <c r="F73" s="6">
        <v>29.8</v>
      </c>
      <c r="G73" s="6">
        <v>67.599999999999994</v>
      </c>
      <c r="H73" s="6">
        <v>41.554004045112038</v>
      </c>
      <c r="I73" s="6">
        <v>50.738236433272512</v>
      </c>
      <c r="J73" s="6">
        <v>369.25523399999992</v>
      </c>
      <c r="K73" s="6">
        <v>8.7321352250059707</v>
      </c>
      <c r="L73" s="6">
        <v>15.839</v>
      </c>
      <c r="M73" s="6">
        <v>4.1890000000000001</v>
      </c>
      <c r="N73" s="6">
        <v>50.81</v>
      </c>
      <c r="O73" s="6">
        <v>27.643999999999998</v>
      </c>
      <c r="P73" s="6">
        <v>95.754999999999995</v>
      </c>
      <c r="Q73" s="6">
        <v>104.006</v>
      </c>
    </row>
    <row r="74" spans="1:17" x14ac:dyDescent="0.35">
      <c r="A74" s="6" t="s">
        <v>84</v>
      </c>
      <c r="B74" s="6" t="s">
        <v>179</v>
      </c>
      <c r="C74" s="6">
        <v>1441.7</v>
      </c>
      <c r="D74" s="6">
        <v>1869.2</v>
      </c>
      <c r="E74" s="6">
        <v>2201.8000000000002</v>
      </c>
      <c r="F74" s="6">
        <v>2065.1</v>
      </c>
      <c r="G74" s="6">
        <v>2554.4</v>
      </c>
      <c r="H74" s="6">
        <v>2621.1421640000021</v>
      </c>
      <c r="I74" s="6">
        <v>2773.2789489999991</v>
      </c>
      <c r="J74" s="6">
        <v>2868.8689579999941</v>
      </c>
      <c r="K74" s="6">
        <v>2994.2965144</v>
      </c>
      <c r="L74" s="6">
        <v>1758.8019999999999</v>
      </c>
      <c r="M74" s="6">
        <v>412.76799999999997</v>
      </c>
      <c r="N74" s="6">
        <v>2148.5529999999999</v>
      </c>
      <c r="O74" s="6">
        <v>2753.3330000000001</v>
      </c>
      <c r="P74" s="6">
        <v>2989.7869999999998</v>
      </c>
      <c r="Q74" s="6">
        <v>3457.4349999999999</v>
      </c>
    </row>
    <row r="75" spans="1:17" x14ac:dyDescent="0.35">
      <c r="A75" s="6" t="s">
        <v>84</v>
      </c>
      <c r="B75" s="6" t="s">
        <v>81</v>
      </c>
      <c r="C75" s="6">
        <v>323.2</v>
      </c>
      <c r="D75" s="6">
        <v>405.7</v>
      </c>
      <c r="E75" s="6">
        <v>450.6</v>
      </c>
      <c r="F75" s="6">
        <v>549.1</v>
      </c>
      <c r="G75" s="6">
        <v>583.29999999999995</v>
      </c>
      <c r="H75" s="6">
        <v>800.47634216303334</v>
      </c>
      <c r="I75" s="6">
        <v>808.89391053455256</v>
      </c>
      <c r="J75" s="6">
        <v>818.07877942859659</v>
      </c>
      <c r="K75" s="6">
        <v>654.05431063259505</v>
      </c>
      <c r="L75" s="6">
        <v>273.74700000000001</v>
      </c>
      <c r="M75" s="6">
        <v>29.821999999999999</v>
      </c>
      <c r="N75" s="6">
        <v>355.44099999999997</v>
      </c>
      <c r="O75" s="6">
        <v>401.077</v>
      </c>
      <c r="P75" s="6">
        <v>459.072</v>
      </c>
      <c r="Q75" s="6">
        <v>685.25800000000004</v>
      </c>
    </row>
    <row r="76" spans="1:17" x14ac:dyDescent="0.35">
      <c r="A76" s="6" t="s">
        <v>84</v>
      </c>
      <c r="B76" s="6" t="s">
        <v>82</v>
      </c>
      <c r="C76" s="6">
        <v>32.9</v>
      </c>
      <c r="D76" s="6">
        <v>34</v>
      </c>
      <c r="E76" s="6">
        <v>77.400000000000006</v>
      </c>
      <c r="F76" s="6">
        <v>31.1</v>
      </c>
      <c r="G76" s="6">
        <v>36.9</v>
      </c>
      <c r="H76" s="6">
        <v>68.419157022276565</v>
      </c>
      <c r="I76" s="6">
        <v>15.346032932404119</v>
      </c>
      <c r="J76" s="6">
        <v>39.570814302293371</v>
      </c>
      <c r="K76" s="6">
        <v>103.24678376592099</v>
      </c>
      <c r="L76" s="6">
        <v>70.995999999999995</v>
      </c>
      <c r="M76" s="6">
        <v>48.805999999999997</v>
      </c>
      <c r="N76" s="6">
        <v>74.543000000000006</v>
      </c>
      <c r="O76" s="6">
        <v>94.192999999999998</v>
      </c>
      <c r="P76" s="6">
        <v>122.587</v>
      </c>
      <c r="Q76" s="6">
        <v>120.369</v>
      </c>
    </row>
    <row r="77" spans="1:17" x14ac:dyDescent="0.35">
      <c r="A77" s="6" t="s">
        <v>84</v>
      </c>
      <c r="B77" s="6" t="s">
        <v>83</v>
      </c>
      <c r="C77" s="6">
        <v>26.3</v>
      </c>
      <c r="D77" s="6">
        <v>49.7</v>
      </c>
      <c r="E77" s="6">
        <v>33.799999999999997</v>
      </c>
      <c r="F77" s="6">
        <v>77.3</v>
      </c>
      <c r="G77" s="6">
        <v>43.3</v>
      </c>
      <c r="H77" s="6">
        <v>49.736403877732442</v>
      </c>
      <c r="I77" s="6">
        <v>28.046235528301679</v>
      </c>
      <c r="J77" s="6">
        <v>27.79569587905215</v>
      </c>
      <c r="K77" s="6">
        <v>90.720467124665504</v>
      </c>
      <c r="L77" s="6">
        <v>21.686</v>
      </c>
      <c r="M77" s="6">
        <v>18.812999999999999</v>
      </c>
      <c r="N77" s="6">
        <v>63.555999999999997</v>
      </c>
      <c r="O77" s="6">
        <v>124.592</v>
      </c>
      <c r="P77" s="6">
        <v>79.537000000000006</v>
      </c>
      <c r="Q77" s="6">
        <v>59.713999999999999</v>
      </c>
    </row>
    <row r="78" spans="1:17" x14ac:dyDescent="0.35">
      <c r="A78" s="6" t="s">
        <v>84</v>
      </c>
      <c r="B78" s="6" t="s">
        <v>84</v>
      </c>
      <c r="C78" s="6">
        <v>341.1</v>
      </c>
      <c r="D78" s="6">
        <v>245.3</v>
      </c>
      <c r="E78" s="6">
        <v>399.5</v>
      </c>
      <c r="F78" s="6">
        <v>382.8</v>
      </c>
      <c r="G78" s="6">
        <v>518.58021083799918</v>
      </c>
      <c r="H78" s="6">
        <v>134.50946970746531</v>
      </c>
      <c r="I78" s="6">
        <v>205.66847940907729</v>
      </c>
      <c r="J78" s="6">
        <v>198.4128779383895</v>
      </c>
      <c r="K78" s="6">
        <v>220.20765964563901</v>
      </c>
      <c r="L78" s="6">
        <v>535.86900000000003</v>
      </c>
      <c r="M78" s="6">
        <v>141.083</v>
      </c>
      <c r="N78" s="6">
        <v>318.92200000000003</v>
      </c>
      <c r="O78" s="6">
        <v>870.12</v>
      </c>
      <c r="P78" s="6">
        <v>266.10599999999999</v>
      </c>
      <c r="Q78" s="6">
        <v>149.22399999999999</v>
      </c>
    </row>
    <row r="79" spans="1:17" x14ac:dyDescent="0.35">
      <c r="A79" s="6" t="s">
        <v>84</v>
      </c>
      <c r="B79" s="6" t="s">
        <v>85</v>
      </c>
      <c r="C79" s="6">
        <v>221.4</v>
      </c>
      <c r="D79" s="6">
        <v>290.8</v>
      </c>
      <c r="E79" s="6">
        <v>317.7</v>
      </c>
      <c r="F79" s="6">
        <v>396.9</v>
      </c>
      <c r="G79" s="6">
        <v>575</v>
      </c>
      <c r="H79" s="6">
        <v>243.10049448599139</v>
      </c>
      <c r="I79" s="6">
        <v>306.45816413696502</v>
      </c>
      <c r="J79" s="6">
        <v>293.70287648992951</v>
      </c>
      <c r="K79" s="6">
        <v>356.18490704384601</v>
      </c>
      <c r="L79" s="6">
        <v>205.07900000000001</v>
      </c>
      <c r="M79" s="6">
        <v>26.803999999999998</v>
      </c>
      <c r="N79" s="6">
        <v>216.554</v>
      </c>
      <c r="O79" s="6">
        <v>182.125</v>
      </c>
      <c r="P79" s="6">
        <v>379.13400000000001</v>
      </c>
      <c r="Q79" s="6">
        <v>280.267</v>
      </c>
    </row>
    <row r="80" spans="1:17" x14ac:dyDescent="0.35">
      <c r="A80" s="6" t="s">
        <v>84</v>
      </c>
      <c r="B80" s="6" t="s">
        <v>86</v>
      </c>
      <c r="C80" s="6">
        <v>74</v>
      </c>
      <c r="D80" s="6">
        <v>124.4</v>
      </c>
      <c r="E80" s="6">
        <v>226</v>
      </c>
      <c r="F80" s="6">
        <v>175.6</v>
      </c>
      <c r="G80" s="6">
        <v>218.3</v>
      </c>
      <c r="H80" s="6">
        <v>327.10261950445249</v>
      </c>
      <c r="I80" s="6">
        <v>270.96360714319121</v>
      </c>
      <c r="J80" s="6">
        <v>230.96910572225389</v>
      </c>
      <c r="K80" s="6">
        <v>297.33437133092099</v>
      </c>
      <c r="L80" s="6">
        <v>153.34299999999999</v>
      </c>
      <c r="M80" s="6">
        <v>34.228999999999999</v>
      </c>
      <c r="N80" s="6">
        <v>260.57400000000001</v>
      </c>
      <c r="O80" s="6">
        <v>260.70100000000002</v>
      </c>
      <c r="P80" s="6">
        <v>254.64699999999999</v>
      </c>
      <c r="Q80" s="6">
        <v>469.61599999999999</v>
      </c>
    </row>
    <row r="81" spans="1:17" x14ac:dyDescent="0.35">
      <c r="A81" s="6" t="s">
        <v>84</v>
      </c>
      <c r="B81" s="6" t="s">
        <v>89</v>
      </c>
      <c r="C81" s="6">
        <v>14.5</v>
      </c>
      <c r="D81" s="6">
        <v>43.3</v>
      </c>
      <c r="E81" s="6">
        <v>47.1</v>
      </c>
      <c r="F81" s="6">
        <v>29.7</v>
      </c>
      <c r="G81" s="6">
        <v>34.299999999999997</v>
      </c>
      <c r="H81" s="6">
        <v>63.771647606147617</v>
      </c>
      <c r="I81" s="6">
        <v>34.368007112645799</v>
      </c>
      <c r="J81" s="6">
        <v>39.465200921050993</v>
      </c>
      <c r="K81" s="6">
        <v>53.767924099630903</v>
      </c>
      <c r="L81" s="6">
        <v>17.367000000000001</v>
      </c>
      <c r="M81" s="6">
        <v>9.66</v>
      </c>
      <c r="N81" s="6">
        <v>101.995</v>
      </c>
      <c r="O81" s="6">
        <v>61.152999999999999</v>
      </c>
      <c r="P81" s="6">
        <v>106.22499999999999</v>
      </c>
      <c r="Q81" s="6">
        <v>99.281999999999996</v>
      </c>
    </row>
    <row r="82" spans="1:17" x14ac:dyDescent="0.35">
      <c r="A82" s="6" t="s">
        <v>84</v>
      </c>
      <c r="B82" s="6" t="s">
        <v>87</v>
      </c>
      <c r="C82" s="6">
        <v>24.9</v>
      </c>
      <c r="D82" s="6">
        <v>82.2</v>
      </c>
      <c r="E82" s="6">
        <v>129.5</v>
      </c>
      <c r="F82" s="6">
        <v>109.7</v>
      </c>
      <c r="G82" s="6">
        <v>91.6</v>
      </c>
      <c r="H82" s="6">
        <v>113.7693619335509</v>
      </c>
      <c r="I82" s="6">
        <v>200.82084921168001</v>
      </c>
      <c r="J82" s="6">
        <v>297.28948972613699</v>
      </c>
      <c r="K82" s="6">
        <v>344.79806608820201</v>
      </c>
      <c r="L82" s="6">
        <v>88.123999999999995</v>
      </c>
      <c r="M82" s="6">
        <v>7.8360000000000003</v>
      </c>
      <c r="N82" s="6">
        <v>108.426</v>
      </c>
      <c r="O82" s="6">
        <v>115.125</v>
      </c>
      <c r="P82" s="6">
        <v>259.154</v>
      </c>
      <c r="Q82" s="6">
        <v>288.79199999999997</v>
      </c>
    </row>
    <row r="83" spans="1:17" x14ac:dyDescent="0.35">
      <c r="A83" s="6" t="s">
        <v>84</v>
      </c>
      <c r="B83" s="6" t="s">
        <v>88</v>
      </c>
      <c r="C83" s="6">
        <v>50.2</v>
      </c>
      <c r="D83" s="6">
        <v>1.8</v>
      </c>
      <c r="E83" s="6">
        <v>0.8</v>
      </c>
      <c r="F83" s="6">
        <v>5.6</v>
      </c>
      <c r="G83" s="6">
        <v>7.3</v>
      </c>
      <c r="H83" s="6">
        <v>15.93122790740235</v>
      </c>
      <c r="I83" s="6">
        <v>10.44699131532815</v>
      </c>
      <c r="J83" s="6">
        <v>15.04281163073647</v>
      </c>
      <c r="K83" s="6">
        <v>15.265119503720801</v>
      </c>
      <c r="L83" s="6">
        <v>14.723000000000001</v>
      </c>
      <c r="M83" s="6">
        <v>5.4370000000000003</v>
      </c>
      <c r="N83" s="6">
        <v>4.2809999999999997</v>
      </c>
      <c r="O83" s="6">
        <v>7.6079999999999997</v>
      </c>
      <c r="P83" s="6">
        <v>3.1539999999999999</v>
      </c>
      <c r="Q83" s="6">
        <v>57.366999999999997</v>
      </c>
    </row>
    <row r="84" spans="1:17" x14ac:dyDescent="0.35">
      <c r="A84" s="6" t="s">
        <v>84</v>
      </c>
      <c r="B84" s="6" t="s">
        <v>92</v>
      </c>
      <c r="C84" s="6">
        <v>154.80000000000001</v>
      </c>
      <c r="D84" s="6">
        <v>231.2</v>
      </c>
      <c r="E84" s="6">
        <v>265.7</v>
      </c>
      <c r="F84" s="6">
        <v>172</v>
      </c>
      <c r="G84" s="6">
        <v>222.3</v>
      </c>
      <c r="H84" s="6">
        <v>409.83443009904329</v>
      </c>
      <c r="I84" s="6">
        <v>597.60768573348548</v>
      </c>
      <c r="J84" s="6">
        <v>564.65530337180064</v>
      </c>
      <c r="K84" s="6">
        <v>587.84226877756998</v>
      </c>
      <c r="L84" s="6">
        <v>129.43100000000001</v>
      </c>
      <c r="M84" s="6">
        <v>22.39</v>
      </c>
      <c r="N84" s="6">
        <v>398.74</v>
      </c>
      <c r="O84" s="6">
        <v>245.02099999999999</v>
      </c>
      <c r="P84" s="6">
        <v>378.08300000000003</v>
      </c>
      <c r="Q84" s="6">
        <v>348.92099999999999</v>
      </c>
    </row>
    <row r="85" spans="1:17" x14ac:dyDescent="0.35">
      <c r="A85" s="6" t="s">
        <v>84</v>
      </c>
      <c r="B85" s="6" t="s">
        <v>93</v>
      </c>
      <c r="C85" s="6">
        <v>26.3</v>
      </c>
      <c r="D85" s="6">
        <v>44.2</v>
      </c>
      <c r="E85" s="6">
        <v>39.6</v>
      </c>
      <c r="F85" s="6">
        <v>16.399999999999999</v>
      </c>
      <c r="G85" s="6">
        <v>37.299999999999997</v>
      </c>
      <c r="H85" s="6">
        <v>93.599270716887432</v>
      </c>
      <c r="I85" s="6">
        <v>104.193204460126</v>
      </c>
      <c r="J85" s="6">
        <v>133.4428839977592</v>
      </c>
      <c r="K85" s="6">
        <v>51.659188166068503</v>
      </c>
      <c r="L85" s="6">
        <v>32.963999999999999</v>
      </c>
      <c r="M85" s="6">
        <v>27.968</v>
      </c>
      <c r="N85" s="6">
        <v>101.708</v>
      </c>
      <c r="O85" s="6">
        <v>108.733</v>
      </c>
      <c r="P85" s="6">
        <v>74.915000000000006</v>
      </c>
      <c r="Q85" s="6">
        <v>286.53199999999998</v>
      </c>
    </row>
    <row r="86" spans="1:17" x14ac:dyDescent="0.35">
      <c r="A86" s="6" t="s">
        <v>84</v>
      </c>
      <c r="B86" s="6" t="s">
        <v>90</v>
      </c>
      <c r="C86" s="6">
        <v>9.3000000000000007</v>
      </c>
      <c r="D86" s="6">
        <v>2.1</v>
      </c>
      <c r="E86" s="6">
        <v>2.6</v>
      </c>
      <c r="F86" s="6">
        <v>4</v>
      </c>
      <c r="G86" s="6">
        <v>2</v>
      </c>
      <c r="H86" s="6">
        <v>15.38461880407454</v>
      </c>
      <c r="I86" s="6">
        <v>4.8796189671955279</v>
      </c>
      <c r="J86" s="6">
        <v>25.136647380448348</v>
      </c>
      <c r="K86" s="6">
        <v>14.0977235909409</v>
      </c>
      <c r="L86" s="6">
        <v>13.967000000000001</v>
      </c>
      <c r="M86" s="6">
        <v>0</v>
      </c>
      <c r="N86" s="6">
        <v>22.381</v>
      </c>
      <c r="O86" s="6">
        <v>6.9429999999999996</v>
      </c>
      <c r="P86" s="6">
        <v>78.203999999999994</v>
      </c>
      <c r="Q86" s="6">
        <v>7.0350000000000001</v>
      </c>
    </row>
    <row r="87" spans="1:17" x14ac:dyDescent="0.35">
      <c r="A87" s="6" t="s">
        <v>84</v>
      </c>
      <c r="B87" s="6" t="s">
        <v>91</v>
      </c>
      <c r="C87" s="6">
        <v>0</v>
      </c>
      <c r="D87" s="6">
        <v>5.0999999999999996</v>
      </c>
      <c r="E87" s="6">
        <v>2.4</v>
      </c>
      <c r="F87" s="6">
        <v>0.4</v>
      </c>
      <c r="G87" s="6">
        <v>5.6</v>
      </c>
      <c r="H87" s="6">
        <v>13.26802565179743</v>
      </c>
      <c r="I87" s="6">
        <v>9.4660319161266688</v>
      </c>
      <c r="J87" s="6">
        <v>7.4974266704570276</v>
      </c>
      <c r="K87" s="6">
        <v>12.3885499984346</v>
      </c>
      <c r="L87" s="6">
        <v>16.617000000000001</v>
      </c>
      <c r="M87" s="6">
        <v>0</v>
      </c>
      <c r="N87" s="6">
        <v>3.8450000000000002</v>
      </c>
      <c r="O87" s="6">
        <v>1.6850000000000001</v>
      </c>
      <c r="P87" s="6">
        <v>27.792000000000002</v>
      </c>
      <c r="Q87" s="6">
        <v>55.149000000000001</v>
      </c>
    </row>
    <row r="88" spans="1:17" x14ac:dyDescent="0.35">
      <c r="A88" s="6" t="s">
        <v>84</v>
      </c>
      <c r="B88" s="6" t="s">
        <v>211</v>
      </c>
      <c r="C88" s="6">
        <v>136</v>
      </c>
      <c r="D88" s="6">
        <v>299.7</v>
      </c>
      <c r="E88" s="6">
        <v>196.6</v>
      </c>
      <c r="F88" s="6">
        <v>122.2</v>
      </c>
      <c r="G88" s="6">
        <v>148.80000000000001</v>
      </c>
      <c r="H88" s="6">
        <v>245.47091372911819</v>
      </c>
      <c r="I88" s="6">
        <v>163.37067826615271</v>
      </c>
      <c r="J88" s="6">
        <v>159.7964929717352</v>
      </c>
      <c r="K88" s="6">
        <v>170.235793458232</v>
      </c>
      <c r="L88" s="6">
        <v>177.02799999999999</v>
      </c>
      <c r="M88" s="6">
        <v>35.637</v>
      </c>
      <c r="N88" s="6">
        <v>107.80200000000001</v>
      </c>
      <c r="O88" s="6">
        <v>234.904</v>
      </c>
      <c r="P88" s="6">
        <v>458.25799999999998</v>
      </c>
      <c r="Q88" s="6">
        <v>463.24599999999998</v>
      </c>
    </row>
    <row r="89" spans="1:17" x14ac:dyDescent="0.35">
      <c r="A89" s="6" t="s">
        <v>84</v>
      </c>
      <c r="B89" s="6" t="s">
        <v>94</v>
      </c>
      <c r="C89" s="6">
        <v>0.5</v>
      </c>
      <c r="D89" s="6">
        <v>0</v>
      </c>
      <c r="E89" s="6">
        <v>1.7</v>
      </c>
      <c r="F89" s="6">
        <v>0</v>
      </c>
      <c r="G89" s="6">
        <v>8.1999999999999993</v>
      </c>
      <c r="H89" s="6">
        <v>0</v>
      </c>
      <c r="I89" s="6">
        <v>4.0951297266462694</v>
      </c>
      <c r="J89" s="6">
        <v>9.6849249645533728</v>
      </c>
      <c r="K89" s="6">
        <v>19.4470517010888</v>
      </c>
      <c r="L89" s="6">
        <v>0</v>
      </c>
      <c r="M89" s="6">
        <v>0</v>
      </c>
      <c r="N89" s="6">
        <v>0.153</v>
      </c>
      <c r="O89" s="6">
        <v>6.0259999999999998</v>
      </c>
      <c r="P89" s="6">
        <v>1.593</v>
      </c>
      <c r="Q89" s="6">
        <v>26.774999999999999</v>
      </c>
    </row>
    <row r="90" spans="1:17" x14ac:dyDescent="0.35">
      <c r="A90" s="6" t="s">
        <v>84</v>
      </c>
      <c r="B90" s="6" t="s">
        <v>212</v>
      </c>
      <c r="C90" s="6">
        <v>6.3</v>
      </c>
      <c r="D90" s="6">
        <v>9.6</v>
      </c>
      <c r="E90" s="6">
        <v>10.8</v>
      </c>
      <c r="F90" s="6">
        <v>10.199999999999999</v>
      </c>
      <c r="G90" s="6">
        <v>21.5</v>
      </c>
      <c r="H90" s="6">
        <v>26.76818079102895</v>
      </c>
      <c r="I90" s="6">
        <v>8.6543226061206422</v>
      </c>
      <c r="J90" s="6">
        <v>8.3276266048005905</v>
      </c>
      <c r="K90" s="6">
        <v>3.04632947252371</v>
      </c>
      <c r="L90" s="6">
        <v>7.8609999999999998</v>
      </c>
      <c r="M90" s="6">
        <v>4.2830000000000004</v>
      </c>
      <c r="N90" s="6">
        <v>9.6319999999999997</v>
      </c>
      <c r="O90" s="6">
        <v>33.326999999999998</v>
      </c>
      <c r="P90" s="6">
        <v>41.326000000000001</v>
      </c>
      <c r="Q90" s="6">
        <v>59.887999999999998</v>
      </c>
    </row>
    <row r="91" spans="1:17" x14ac:dyDescent="0.35">
      <c r="A91" s="6" t="s">
        <v>85</v>
      </c>
      <c r="B91" s="6" t="s">
        <v>179</v>
      </c>
      <c r="C91" s="6">
        <v>1787.8</v>
      </c>
      <c r="D91" s="6">
        <v>2645.2</v>
      </c>
      <c r="E91" s="6">
        <v>3005.6</v>
      </c>
      <c r="F91" s="6">
        <v>3004.4</v>
      </c>
      <c r="G91" s="6">
        <v>3781.2</v>
      </c>
      <c r="H91" s="6">
        <v>3917.337022000002</v>
      </c>
      <c r="I91" s="6">
        <v>4573.2272780000012</v>
      </c>
      <c r="J91" s="6">
        <v>5025.5282289999986</v>
      </c>
      <c r="K91" s="6">
        <v>5158.1928139588099</v>
      </c>
      <c r="L91" s="6">
        <v>2918.348</v>
      </c>
      <c r="M91" s="6">
        <v>763.09700000000009</v>
      </c>
      <c r="N91" s="6">
        <v>3550.1320000000001</v>
      </c>
      <c r="O91" s="6">
        <v>2992.087</v>
      </c>
      <c r="P91" s="6">
        <v>3608.2710000000002</v>
      </c>
      <c r="Q91" s="6">
        <v>3783.9740000000002</v>
      </c>
    </row>
    <row r="92" spans="1:17" x14ac:dyDescent="0.35">
      <c r="A92" s="6" t="s">
        <v>85</v>
      </c>
      <c r="B92" s="6" t="s">
        <v>81</v>
      </c>
      <c r="C92" s="6">
        <v>265.3</v>
      </c>
      <c r="D92" s="6">
        <v>281.5</v>
      </c>
      <c r="E92" s="6">
        <v>339.8</v>
      </c>
      <c r="F92" s="6">
        <v>170.1</v>
      </c>
      <c r="G92" s="6">
        <v>250.7</v>
      </c>
      <c r="H92" s="6">
        <v>272.13649761150941</v>
      </c>
      <c r="I92" s="6">
        <v>516.90928922943749</v>
      </c>
      <c r="J92" s="6">
        <v>279.27475947389678</v>
      </c>
      <c r="K92" s="6">
        <v>744.81923372033202</v>
      </c>
      <c r="L92" s="6">
        <v>338.34199999999998</v>
      </c>
      <c r="M92" s="6">
        <v>52.317</v>
      </c>
      <c r="N92" s="6">
        <v>385.86500000000001</v>
      </c>
      <c r="O92" s="6">
        <v>402.84800000000001</v>
      </c>
      <c r="P92" s="6">
        <v>464.774</v>
      </c>
      <c r="Q92" s="6">
        <v>467.59399999999999</v>
      </c>
    </row>
    <row r="93" spans="1:17" x14ac:dyDescent="0.35">
      <c r="A93" s="6" t="s">
        <v>85</v>
      </c>
      <c r="B93" s="6" t="s">
        <v>82</v>
      </c>
      <c r="C93" s="6">
        <v>71.8</v>
      </c>
      <c r="D93" s="6">
        <v>97.5</v>
      </c>
      <c r="E93" s="6">
        <v>47.2</v>
      </c>
      <c r="F93" s="6">
        <v>67.900000000000006</v>
      </c>
      <c r="G93" s="6">
        <v>80.900000000000006</v>
      </c>
      <c r="H93" s="6">
        <v>126.9815487582766</v>
      </c>
      <c r="I93" s="6">
        <v>213.92919321103881</v>
      </c>
      <c r="J93" s="6">
        <v>201.07782822653439</v>
      </c>
      <c r="K93" s="6">
        <v>329.66529018035499</v>
      </c>
      <c r="L93" s="6">
        <v>129.125</v>
      </c>
      <c r="M93" s="6">
        <v>11.196999999999999</v>
      </c>
      <c r="N93" s="6">
        <v>114.145</v>
      </c>
      <c r="O93" s="6">
        <v>82.638999999999996</v>
      </c>
      <c r="P93" s="6">
        <v>71.578000000000003</v>
      </c>
      <c r="Q93" s="6">
        <v>112.04900000000001</v>
      </c>
    </row>
    <row r="94" spans="1:17" x14ac:dyDescent="0.35">
      <c r="A94" s="6" t="s">
        <v>85</v>
      </c>
      <c r="B94" s="6" t="s">
        <v>83</v>
      </c>
      <c r="C94" s="6">
        <v>76.099999999999994</v>
      </c>
      <c r="D94" s="6">
        <v>86.9</v>
      </c>
      <c r="E94" s="6">
        <v>42.1</v>
      </c>
      <c r="F94" s="6">
        <v>36.9</v>
      </c>
      <c r="G94" s="6">
        <v>59.8</v>
      </c>
      <c r="H94" s="6">
        <v>134.75678559780241</v>
      </c>
      <c r="I94" s="6">
        <v>164.80970762528801</v>
      </c>
      <c r="J94" s="6">
        <v>106.0932701319757</v>
      </c>
      <c r="K94" s="6">
        <v>60.465220048206398</v>
      </c>
      <c r="L94" s="6">
        <v>68.162000000000006</v>
      </c>
      <c r="M94" s="6">
        <v>8.3140000000000001</v>
      </c>
      <c r="N94" s="6">
        <v>182.49199999999999</v>
      </c>
      <c r="O94" s="6">
        <v>76.248000000000005</v>
      </c>
      <c r="P94" s="6">
        <v>258.24700000000001</v>
      </c>
      <c r="Q94" s="6">
        <v>203.93799999999999</v>
      </c>
    </row>
    <row r="95" spans="1:17" x14ac:dyDescent="0.35">
      <c r="A95" s="6" t="s">
        <v>85</v>
      </c>
      <c r="B95" s="6" t="s">
        <v>84</v>
      </c>
      <c r="C95" s="6">
        <v>246.5</v>
      </c>
      <c r="D95" s="6">
        <v>265.8</v>
      </c>
      <c r="E95" s="6">
        <v>448.3</v>
      </c>
      <c r="F95" s="6">
        <v>396.9</v>
      </c>
      <c r="G95" s="6">
        <v>334.4</v>
      </c>
      <c r="H95" s="6">
        <v>444.57480954941627</v>
      </c>
      <c r="I95" s="6">
        <v>225.71430279441799</v>
      </c>
      <c r="J95" s="6">
        <v>228.5228719297651</v>
      </c>
      <c r="K95" s="6">
        <v>701.01005500799397</v>
      </c>
      <c r="L95" s="6">
        <v>273.76799999999997</v>
      </c>
      <c r="M95" s="6">
        <v>126.34399999999999</v>
      </c>
      <c r="N95" s="6">
        <v>394.61099999999999</v>
      </c>
      <c r="O95" s="6">
        <v>238.35400000000001</v>
      </c>
      <c r="P95" s="6">
        <v>359.63200000000001</v>
      </c>
      <c r="Q95" s="6">
        <v>377.28899999999999</v>
      </c>
    </row>
    <row r="96" spans="1:17" x14ac:dyDescent="0.35">
      <c r="A96" s="6" t="s">
        <v>85</v>
      </c>
      <c r="B96" s="6" t="s">
        <v>85</v>
      </c>
      <c r="C96" s="6">
        <v>467</v>
      </c>
      <c r="D96" s="6">
        <v>939.6</v>
      </c>
      <c r="E96" s="6">
        <v>1193.4000000000001</v>
      </c>
      <c r="F96" s="6">
        <v>1297</v>
      </c>
      <c r="G96" s="6">
        <v>2063.4</v>
      </c>
      <c r="H96" s="6">
        <v>1572.467431580621</v>
      </c>
      <c r="I96" s="6">
        <v>2034.9379798877869</v>
      </c>
      <c r="J96" s="6">
        <v>2371.9270534168199</v>
      </c>
      <c r="K96" s="6">
        <v>656.50512328940897</v>
      </c>
      <c r="L96" s="6">
        <v>650.35699999999997</v>
      </c>
      <c r="M96" s="6">
        <v>469.71600000000001</v>
      </c>
      <c r="N96" s="6">
        <v>896.69899999999996</v>
      </c>
      <c r="O96" s="6">
        <v>1088.586</v>
      </c>
      <c r="P96" s="6">
        <v>714.60699999999997</v>
      </c>
      <c r="Q96" s="6">
        <v>460.839</v>
      </c>
    </row>
    <row r="97" spans="1:17" x14ac:dyDescent="0.35">
      <c r="A97" s="6" t="s">
        <v>85</v>
      </c>
      <c r="B97" s="6" t="s">
        <v>86</v>
      </c>
      <c r="C97" s="6">
        <v>97.6</v>
      </c>
      <c r="D97" s="6">
        <v>189</v>
      </c>
      <c r="E97" s="6">
        <v>153.9</v>
      </c>
      <c r="F97" s="6">
        <v>207.5</v>
      </c>
      <c r="G97" s="6">
        <v>188.2</v>
      </c>
      <c r="H97" s="6">
        <v>209.732869932885</v>
      </c>
      <c r="I97" s="6">
        <v>192.7884277857662</v>
      </c>
      <c r="J97" s="6">
        <v>178.06783094230269</v>
      </c>
      <c r="K97" s="6">
        <v>541.01933718861596</v>
      </c>
      <c r="L97" s="6">
        <v>242.977</v>
      </c>
      <c r="M97" s="6">
        <v>8.1080000000000005</v>
      </c>
      <c r="N97" s="6">
        <v>533.173</v>
      </c>
      <c r="O97" s="6">
        <v>417.25700000000001</v>
      </c>
      <c r="P97" s="6">
        <v>459.935</v>
      </c>
      <c r="Q97" s="6">
        <v>444.428</v>
      </c>
    </row>
    <row r="98" spans="1:17" x14ac:dyDescent="0.35">
      <c r="A98" s="6" t="s">
        <v>85</v>
      </c>
      <c r="B98" s="6" t="s">
        <v>89</v>
      </c>
      <c r="C98" s="6">
        <v>91.8</v>
      </c>
      <c r="D98" s="6">
        <v>66.3</v>
      </c>
      <c r="E98" s="6">
        <v>39.9</v>
      </c>
      <c r="F98" s="6">
        <v>27.3</v>
      </c>
      <c r="G98" s="6">
        <v>69.900000000000006</v>
      </c>
      <c r="H98" s="6">
        <v>79.249913108398701</v>
      </c>
      <c r="I98" s="6">
        <v>93.897148011815062</v>
      </c>
      <c r="J98" s="6">
        <v>140.77369130321961</v>
      </c>
      <c r="K98" s="6">
        <v>43.808253686903299</v>
      </c>
      <c r="L98" s="6">
        <v>123.34399999999999</v>
      </c>
      <c r="M98" s="6">
        <v>12.682</v>
      </c>
      <c r="N98" s="6">
        <v>189.21899999999999</v>
      </c>
      <c r="O98" s="6">
        <v>162.76599999999999</v>
      </c>
      <c r="P98" s="6">
        <v>140.47900000000001</v>
      </c>
      <c r="Q98" s="6">
        <v>65.536000000000001</v>
      </c>
    </row>
    <row r="99" spans="1:17" x14ac:dyDescent="0.35">
      <c r="A99" s="6" t="s">
        <v>85</v>
      </c>
      <c r="B99" s="6" t="s">
        <v>87</v>
      </c>
      <c r="C99" s="6">
        <v>112</v>
      </c>
      <c r="D99" s="6">
        <v>170.5</v>
      </c>
      <c r="E99" s="6">
        <v>102.5</v>
      </c>
      <c r="F99" s="6">
        <v>112.2</v>
      </c>
      <c r="G99" s="6">
        <v>195.2</v>
      </c>
      <c r="H99" s="6">
        <v>133.39360894916149</v>
      </c>
      <c r="I99" s="6">
        <v>239.66128162933069</v>
      </c>
      <c r="J99" s="6">
        <v>711.61004739962425</v>
      </c>
      <c r="K99" s="6">
        <v>677.01517161203799</v>
      </c>
      <c r="L99" s="6">
        <v>281.97399999999999</v>
      </c>
      <c r="M99" s="6">
        <v>12.321999999999999</v>
      </c>
      <c r="N99" s="6">
        <v>210.959</v>
      </c>
      <c r="O99" s="6">
        <v>162.92699999999999</v>
      </c>
      <c r="P99" s="6">
        <v>315.02199999999999</v>
      </c>
      <c r="Q99" s="6">
        <v>275.01900000000001</v>
      </c>
    </row>
    <row r="100" spans="1:17" x14ac:dyDescent="0.35">
      <c r="A100" s="6" t="s">
        <v>85</v>
      </c>
      <c r="B100" s="6" t="s">
        <v>88</v>
      </c>
      <c r="C100" s="6">
        <v>32.5</v>
      </c>
      <c r="D100" s="6">
        <v>14.9</v>
      </c>
      <c r="E100" s="6">
        <v>17.2</v>
      </c>
      <c r="F100" s="6">
        <v>7.6</v>
      </c>
      <c r="G100" s="6">
        <v>1.1000000000000001</v>
      </c>
      <c r="H100" s="6">
        <v>1.4640253721296941</v>
      </c>
      <c r="I100" s="6">
        <v>87.45704256299868</v>
      </c>
      <c r="J100" s="6">
        <v>100.8351317853873</v>
      </c>
      <c r="K100" s="6">
        <v>3.4051968207662502</v>
      </c>
      <c r="L100" s="6">
        <v>80.718000000000004</v>
      </c>
      <c r="M100" s="6">
        <v>4.4260000000000002</v>
      </c>
      <c r="N100" s="6">
        <v>23.492999999999999</v>
      </c>
      <c r="O100" s="6">
        <v>12.891</v>
      </c>
      <c r="P100" s="6">
        <v>18.34</v>
      </c>
      <c r="Q100" s="6">
        <v>18.698</v>
      </c>
    </row>
    <row r="101" spans="1:17" x14ac:dyDescent="0.35">
      <c r="A101" s="6" t="s">
        <v>85</v>
      </c>
      <c r="B101" s="6" t="s">
        <v>92</v>
      </c>
      <c r="C101" s="6">
        <v>133.5</v>
      </c>
      <c r="D101" s="6">
        <v>321.7</v>
      </c>
      <c r="E101" s="6">
        <v>339</v>
      </c>
      <c r="F101" s="6">
        <v>311.60000000000002</v>
      </c>
      <c r="G101" s="6">
        <v>320.3</v>
      </c>
      <c r="H101" s="6">
        <v>588.55826845067645</v>
      </c>
      <c r="I101" s="6">
        <v>408.3084600360645</v>
      </c>
      <c r="J101" s="6">
        <v>391.71246387380808</v>
      </c>
      <c r="K101" s="6">
        <v>680.80745215998104</v>
      </c>
      <c r="L101" s="6">
        <v>243.39099999999999</v>
      </c>
      <c r="M101" s="6">
        <v>8.3810000000000002</v>
      </c>
      <c r="N101" s="6">
        <v>240.417</v>
      </c>
      <c r="O101" s="6">
        <v>169.90799999999999</v>
      </c>
      <c r="P101" s="6">
        <v>351.43299999999999</v>
      </c>
      <c r="Q101" s="6">
        <v>448.82799999999997</v>
      </c>
    </row>
    <row r="102" spans="1:17" x14ac:dyDescent="0.35">
      <c r="A102" s="6" t="s">
        <v>85</v>
      </c>
      <c r="B102" s="6" t="s">
        <v>93</v>
      </c>
      <c r="C102" s="6">
        <v>43.5</v>
      </c>
      <c r="D102" s="6">
        <v>68.3</v>
      </c>
      <c r="E102" s="6">
        <v>58.8</v>
      </c>
      <c r="F102" s="6">
        <v>45.2</v>
      </c>
      <c r="G102" s="6">
        <v>52.5</v>
      </c>
      <c r="H102" s="6">
        <v>82.882332372307232</v>
      </c>
      <c r="I102" s="6">
        <v>60.746241602640119</v>
      </c>
      <c r="J102" s="6">
        <v>119.049784503791</v>
      </c>
      <c r="K102" s="6">
        <v>320.66250835607099</v>
      </c>
      <c r="L102" s="6">
        <v>130.73699999999999</v>
      </c>
      <c r="M102" s="6">
        <v>5.3310000000000004</v>
      </c>
      <c r="N102" s="6">
        <v>220.74600000000001</v>
      </c>
      <c r="O102" s="6">
        <v>96.15</v>
      </c>
      <c r="P102" s="6">
        <v>136.393</v>
      </c>
      <c r="Q102" s="6">
        <v>190.56200000000001</v>
      </c>
    </row>
    <row r="103" spans="1:17" x14ac:dyDescent="0.35">
      <c r="A103" s="6" t="s">
        <v>85</v>
      </c>
      <c r="B103" s="6" t="s">
        <v>90</v>
      </c>
      <c r="C103" s="6">
        <v>1.4</v>
      </c>
      <c r="D103" s="6">
        <v>10</v>
      </c>
      <c r="E103" s="6">
        <v>2.4</v>
      </c>
      <c r="F103" s="6">
        <v>5.8</v>
      </c>
      <c r="G103" s="6">
        <v>1.1000000000000001</v>
      </c>
      <c r="H103" s="6">
        <v>15.168289395271801</v>
      </c>
      <c r="I103" s="6">
        <v>32.502362121459832</v>
      </c>
      <c r="J103" s="6">
        <v>4.7472662667615948</v>
      </c>
      <c r="K103" s="6">
        <v>7.85794902788715</v>
      </c>
      <c r="L103" s="6">
        <v>8.8030000000000008</v>
      </c>
      <c r="M103" s="6">
        <v>0</v>
      </c>
      <c r="N103" s="6">
        <v>14.446999999999999</v>
      </c>
      <c r="O103" s="6">
        <v>22.654</v>
      </c>
      <c r="P103" s="6">
        <v>8.7859999999999996</v>
      </c>
      <c r="Q103" s="6">
        <v>78.882000000000005</v>
      </c>
    </row>
    <row r="104" spans="1:17" x14ac:dyDescent="0.35">
      <c r="A104" s="6" t="s">
        <v>85</v>
      </c>
      <c r="B104" s="6" t="s">
        <v>91</v>
      </c>
      <c r="C104" s="6">
        <v>1.4</v>
      </c>
      <c r="D104" s="6">
        <v>7.4</v>
      </c>
      <c r="E104" s="6">
        <v>6.4</v>
      </c>
      <c r="F104" s="6">
        <v>10.1</v>
      </c>
      <c r="G104" s="6">
        <v>8.9</v>
      </c>
      <c r="H104" s="6">
        <v>8.8190099797336305</v>
      </c>
      <c r="I104" s="6">
        <v>20.442280299861078</v>
      </c>
      <c r="J104" s="6">
        <v>25.847687990308</v>
      </c>
      <c r="K104" s="6">
        <v>40.4508689725346</v>
      </c>
      <c r="L104" s="6">
        <v>12.579000000000001</v>
      </c>
      <c r="M104" s="6">
        <v>12.097</v>
      </c>
      <c r="N104" s="6">
        <v>15.202999999999999</v>
      </c>
      <c r="O104" s="6">
        <v>6.0919999999999996</v>
      </c>
      <c r="P104" s="6">
        <v>9.9350000000000005</v>
      </c>
      <c r="Q104" s="6">
        <v>87.135999999999996</v>
      </c>
    </row>
    <row r="105" spans="1:17" x14ac:dyDescent="0.35">
      <c r="A105" s="6" t="s">
        <v>85</v>
      </c>
      <c r="B105" s="6" t="s">
        <v>211</v>
      </c>
      <c r="C105" s="6">
        <v>146.80000000000001</v>
      </c>
      <c r="D105" s="6">
        <v>106.1</v>
      </c>
      <c r="E105" s="6">
        <v>193</v>
      </c>
      <c r="F105" s="6">
        <v>126.4</v>
      </c>
      <c r="G105" s="6">
        <v>135.19999999999999</v>
      </c>
      <c r="H105" s="6">
        <v>241.78169676932151</v>
      </c>
      <c r="I105" s="6">
        <v>222.09736450392569</v>
      </c>
      <c r="J105" s="6">
        <v>159.96570489262609</v>
      </c>
      <c r="K105" s="6">
        <v>337.52490593334602</v>
      </c>
      <c r="L105" s="6">
        <v>311.06400000000002</v>
      </c>
      <c r="M105" s="6">
        <v>28.224</v>
      </c>
      <c r="N105" s="6">
        <v>105.93899999999999</v>
      </c>
      <c r="O105" s="6">
        <v>33.722000000000001</v>
      </c>
      <c r="P105" s="6">
        <v>256.05</v>
      </c>
      <c r="Q105" s="6">
        <v>442.738</v>
      </c>
    </row>
    <row r="106" spans="1:17" x14ac:dyDescent="0.35">
      <c r="A106" s="6" t="s">
        <v>85</v>
      </c>
      <c r="B106" s="6" t="s">
        <v>94</v>
      </c>
      <c r="C106" s="6">
        <v>0.6</v>
      </c>
      <c r="D106" s="6">
        <v>0</v>
      </c>
      <c r="E106" s="6">
        <v>0</v>
      </c>
      <c r="F106" s="6">
        <v>3.3</v>
      </c>
      <c r="G106" s="6">
        <v>1.1000000000000001</v>
      </c>
      <c r="H106" s="6">
        <v>5.3699345724908003</v>
      </c>
      <c r="I106" s="6">
        <v>8.3749949592579913</v>
      </c>
      <c r="J106" s="6">
        <v>1.003806143862831</v>
      </c>
      <c r="K106" s="6">
        <v>3.3469780616054599</v>
      </c>
      <c r="L106" s="6">
        <v>0</v>
      </c>
      <c r="M106" s="6">
        <v>0</v>
      </c>
      <c r="N106" s="6">
        <v>4.5439999999999996</v>
      </c>
      <c r="O106" s="6">
        <v>11.694000000000001</v>
      </c>
      <c r="P106" s="6">
        <v>6.7640000000000002</v>
      </c>
      <c r="Q106" s="6">
        <v>47.15</v>
      </c>
    </row>
    <row r="107" spans="1:17" x14ac:dyDescent="0.35">
      <c r="A107" s="6" t="s">
        <v>85</v>
      </c>
      <c r="B107" s="6" t="s">
        <v>212</v>
      </c>
      <c r="C107" s="6">
        <v>0</v>
      </c>
      <c r="D107" s="6">
        <v>19.600000000000001</v>
      </c>
      <c r="E107" s="6">
        <v>21.8</v>
      </c>
      <c r="F107" s="6">
        <v>8.8000000000000007</v>
      </c>
      <c r="G107" s="6">
        <v>18.399999999999999</v>
      </c>
      <c r="H107" s="6">
        <v>0</v>
      </c>
      <c r="I107" s="6">
        <v>50.651201738912143</v>
      </c>
      <c r="J107" s="6">
        <v>5.019030719314153</v>
      </c>
      <c r="K107" s="6">
        <v>9.8292698927671207</v>
      </c>
      <c r="L107" s="6">
        <v>23.007000000000001</v>
      </c>
      <c r="M107" s="6">
        <v>3.6379999999999999</v>
      </c>
      <c r="N107" s="6">
        <v>18.18</v>
      </c>
      <c r="O107" s="6">
        <v>7.351</v>
      </c>
      <c r="P107" s="6">
        <v>36.295999999999999</v>
      </c>
      <c r="Q107" s="6">
        <v>63.287999999999997</v>
      </c>
    </row>
    <row r="108" spans="1:17" x14ac:dyDescent="0.35">
      <c r="A108" s="6" t="s">
        <v>86</v>
      </c>
      <c r="B108" s="6" t="s">
        <v>179</v>
      </c>
      <c r="C108" s="6">
        <v>2868.7</v>
      </c>
      <c r="D108" s="6">
        <v>3162.4</v>
      </c>
      <c r="E108" s="6">
        <v>4010.5</v>
      </c>
      <c r="F108" s="6">
        <v>3747.3</v>
      </c>
      <c r="G108" s="6">
        <v>4368.3999999999996</v>
      </c>
      <c r="H108" s="6">
        <v>4797.8496859999977</v>
      </c>
      <c r="I108" s="6">
        <v>5158.3974189999999</v>
      </c>
      <c r="J108" s="6">
        <v>5609.447791999999</v>
      </c>
      <c r="K108" s="6">
        <v>6688.3843304000002</v>
      </c>
      <c r="L108" s="6">
        <v>3644.1190000000001</v>
      </c>
      <c r="M108" s="6">
        <v>985.69600000000014</v>
      </c>
      <c r="N108" s="6">
        <v>5364.7060000000001</v>
      </c>
      <c r="O108" s="6">
        <v>5562.3419999999996</v>
      </c>
      <c r="P108" s="6">
        <v>5744.9660000000003</v>
      </c>
      <c r="Q108" s="6">
        <v>8438.5910000000003</v>
      </c>
    </row>
    <row r="109" spans="1:17" x14ac:dyDescent="0.35">
      <c r="A109" s="6" t="s">
        <v>86</v>
      </c>
      <c r="B109" s="6" t="s">
        <v>81</v>
      </c>
      <c r="C109" s="6">
        <v>200.4</v>
      </c>
      <c r="D109" s="6">
        <v>262</v>
      </c>
      <c r="E109" s="6">
        <v>351.9</v>
      </c>
      <c r="F109" s="6">
        <v>247.9</v>
      </c>
      <c r="G109" s="6">
        <v>208.8</v>
      </c>
      <c r="H109" s="6">
        <v>259.58824027750097</v>
      </c>
      <c r="I109" s="6">
        <v>507.23873204320978</v>
      </c>
      <c r="J109" s="6">
        <v>657.65356184743905</v>
      </c>
      <c r="K109" s="6">
        <v>306.671051625323</v>
      </c>
      <c r="L109" s="6">
        <v>114.94499999999999</v>
      </c>
      <c r="M109" s="6">
        <v>18.015999999999998</v>
      </c>
      <c r="N109" s="6">
        <v>430.09300000000002</v>
      </c>
      <c r="O109" s="6">
        <v>361.14699999999999</v>
      </c>
      <c r="P109" s="6">
        <v>538.80200000000002</v>
      </c>
      <c r="Q109" s="6">
        <v>585.25199999999995</v>
      </c>
    </row>
    <row r="110" spans="1:17" x14ac:dyDescent="0.35">
      <c r="A110" s="6" t="s">
        <v>86</v>
      </c>
      <c r="B110" s="6" t="s">
        <v>82</v>
      </c>
      <c r="C110" s="6">
        <v>134.30000000000001</v>
      </c>
      <c r="D110" s="6">
        <v>86</v>
      </c>
      <c r="E110" s="6">
        <v>105.3</v>
      </c>
      <c r="F110" s="6">
        <v>159.69999999999999</v>
      </c>
      <c r="G110" s="6">
        <v>74.400000000000006</v>
      </c>
      <c r="H110" s="6">
        <v>206.80580906918649</v>
      </c>
      <c r="I110" s="6">
        <v>98.37846127478123</v>
      </c>
      <c r="J110" s="6">
        <v>93.757138695022661</v>
      </c>
      <c r="K110" s="6">
        <v>141.32796225660999</v>
      </c>
      <c r="L110" s="6">
        <v>103.229</v>
      </c>
      <c r="M110" s="6">
        <v>5.2450000000000001</v>
      </c>
      <c r="N110" s="6">
        <v>84.855999999999995</v>
      </c>
      <c r="O110" s="6">
        <v>100.03</v>
      </c>
      <c r="P110" s="6">
        <v>122.38500000000001</v>
      </c>
      <c r="Q110" s="6">
        <v>193.68899999999999</v>
      </c>
    </row>
    <row r="111" spans="1:17" x14ac:dyDescent="0.35">
      <c r="A111" s="6" t="s">
        <v>86</v>
      </c>
      <c r="B111" s="6" t="s">
        <v>83</v>
      </c>
      <c r="C111" s="6">
        <v>204.4</v>
      </c>
      <c r="D111" s="6">
        <v>296.10000000000002</v>
      </c>
      <c r="E111" s="6">
        <v>362.8</v>
      </c>
      <c r="F111" s="6">
        <v>262.7</v>
      </c>
      <c r="G111" s="6">
        <v>313.7</v>
      </c>
      <c r="H111" s="6">
        <v>377.89195845135299</v>
      </c>
      <c r="I111" s="6">
        <v>403.21901604351791</v>
      </c>
      <c r="J111" s="6">
        <v>373.71384139151218</v>
      </c>
      <c r="K111" s="6">
        <v>552.51261606810999</v>
      </c>
      <c r="L111" s="6">
        <v>284.572</v>
      </c>
      <c r="M111" s="6">
        <v>53.86</v>
      </c>
      <c r="N111" s="6">
        <v>454.67399999999998</v>
      </c>
      <c r="O111" s="6">
        <v>482.83699999999999</v>
      </c>
      <c r="P111" s="6">
        <v>474.37599999999998</v>
      </c>
      <c r="Q111" s="6">
        <v>655.12900000000002</v>
      </c>
    </row>
    <row r="112" spans="1:17" x14ac:dyDescent="0.35">
      <c r="A112" s="6" t="s">
        <v>86</v>
      </c>
      <c r="B112" s="6" t="s">
        <v>84</v>
      </c>
      <c r="C112" s="6">
        <v>67.099999999999994</v>
      </c>
      <c r="D112" s="6">
        <v>113.9</v>
      </c>
      <c r="E112" s="6">
        <v>90.6</v>
      </c>
      <c r="F112" s="6">
        <v>175.6</v>
      </c>
      <c r="G112" s="6">
        <v>171.2</v>
      </c>
      <c r="H112" s="6">
        <v>245.90822086029621</v>
      </c>
      <c r="I112" s="6">
        <v>186.19937379650051</v>
      </c>
      <c r="J112" s="6">
        <v>140.07953903494499</v>
      </c>
      <c r="K112" s="6">
        <v>290.95042503420802</v>
      </c>
      <c r="L112" s="6">
        <v>121.544</v>
      </c>
      <c r="M112" s="6">
        <v>11.157999999999999</v>
      </c>
      <c r="N112" s="6">
        <v>142.37</v>
      </c>
      <c r="O112" s="6">
        <v>205.423</v>
      </c>
      <c r="P112" s="6">
        <v>134.31800000000001</v>
      </c>
      <c r="Q112" s="6">
        <v>305.14100000000002</v>
      </c>
    </row>
    <row r="113" spans="1:17" x14ac:dyDescent="0.35">
      <c r="A113" s="6" t="s">
        <v>86</v>
      </c>
      <c r="B113" s="6" t="s">
        <v>85</v>
      </c>
      <c r="C113" s="6">
        <v>283.7</v>
      </c>
      <c r="D113" s="6">
        <v>148.6</v>
      </c>
      <c r="E113" s="6">
        <v>124.6</v>
      </c>
      <c r="F113" s="6">
        <v>207.5</v>
      </c>
      <c r="G113" s="6">
        <v>105.4</v>
      </c>
      <c r="H113" s="6">
        <v>126.4409957178535</v>
      </c>
      <c r="I113" s="6">
        <v>209.3984186658611</v>
      </c>
      <c r="J113" s="6">
        <v>121.17252018347109</v>
      </c>
      <c r="K113" s="6">
        <v>297.74641086574701</v>
      </c>
      <c r="L113" s="6">
        <v>83.043999999999997</v>
      </c>
      <c r="M113" s="6">
        <v>10.754</v>
      </c>
      <c r="N113" s="6">
        <v>205.083</v>
      </c>
      <c r="O113" s="6">
        <v>194.065</v>
      </c>
      <c r="P113" s="6">
        <v>221.14400000000001</v>
      </c>
      <c r="Q113" s="6">
        <v>287.89</v>
      </c>
    </row>
    <row r="114" spans="1:17" x14ac:dyDescent="0.35">
      <c r="A114" s="6" t="s">
        <v>86</v>
      </c>
      <c r="B114" s="6" t="s">
        <v>86</v>
      </c>
      <c r="C114" s="6">
        <v>946.5</v>
      </c>
      <c r="D114" s="6">
        <v>1083</v>
      </c>
      <c r="E114" s="6">
        <v>1381.5</v>
      </c>
      <c r="F114" s="6">
        <v>1380.3</v>
      </c>
      <c r="G114" s="6">
        <v>2120.6999999999998</v>
      </c>
      <c r="H114" s="6">
        <v>1942.231148032962</v>
      </c>
      <c r="I114" s="6">
        <v>1980.9502209435641</v>
      </c>
      <c r="J114" s="6">
        <v>2310.548862337499</v>
      </c>
      <c r="K114" s="6">
        <v>2896.2928323388001</v>
      </c>
      <c r="L114" s="6">
        <v>1682.818</v>
      </c>
      <c r="M114" s="6">
        <v>600.34100000000001</v>
      </c>
      <c r="N114" s="6">
        <v>2079.6779999999999</v>
      </c>
      <c r="O114" s="6">
        <v>2507.806</v>
      </c>
      <c r="P114" s="6">
        <v>1981.222</v>
      </c>
      <c r="Q114" s="6">
        <v>2599.8009999999999</v>
      </c>
    </row>
    <row r="115" spans="1:17" x14ac:dyDescent="0.35">
      <c r="A115" s="6" t="s">
        <v>86</v>
      </c>
      <c r="B115" s="6" t="s">
        <v>89</v>
      </c>
      <c r="C115" s="6">
        <v>90.1</v>
      </c>
      <c r="D115" s="6">
        <v>33.799999999999997</v>
      </c>
      <c r="E115" s="6">
        <v>56.7</v>
      </c>
      <c r="F115" s="6">
        <v>76.900000000000006</v>
      </c>
      <c r="G115" s="6">
        <v>27.4</v>
      </c>
      <c r="H115" s="6">
        <v>83.138480648102046</v>
      </c>
      <c r="I115" s="6">
        <v>47.925160054958823</v>
      </c>
      <c r="J115" s="6">
        <v>76.305583878865775</v>
      </c>
      <c r="K115" s="6">
        <v>70.848739757291995</v>
      </c>
      <c r="L115" s="6">
        <v>52.308</v>
      </c>
      <c r="M115" s="6">
        <v>14.557</v>
      </c>
      <c r="N115" s="6">
        <v>117.095</v>
      </c>
      <c r="O115" s="6">
        <v>81.424999999999997</v>
      </c>
      <c r="P115" s="6">
        <v>119.93899999999999</v>
      </c>
      <c r="Q115" s="6">
        <v>241.71700000000001</v>
      </c>
    </row>
    <row r="116" spans="1:17" x14ac:dyDescent="0.35">
      <c r="A116" s="6" t="s">
        <v>86</v>
      </c>
      <c r="B116" s="6" t="s">
        <v>87</v>
      </c>
      <c r="C116" s="6">
        <v>85.9</v>
      </c>
      <c r="D116" s="6">
        <v>121</v>
      </c>
      <c r="E116" s="6">
        <v>177.6</v>
      </c>
      <c r="F116" s="6">
        <v>128.9</v>
      </c>
      <c r="G116" s="6">
        <v>173.6</v>
      </c>
      <c r="H116" s="6">
        <v>153.74717139498051</v>
      </c>
      <c r="I116" s="6">
        <v>146.89273249195159</v>
      </c>
      <c r="J116" s="6">
        <v>132.28487120928631</v>
      </c>
      <c r="K116" s="6">
        <v>223.88689091680899</v>
      </c>
      <c r="L116" s="6">
        <v>256.45600000000002</v>
      </c>
      <c r="M116" s="6">
        <v>19.663</v>
      </c>
      <c r="N116" s="6">
        <v>191.441</v>
      </c>
      <c r="O116" s="6">
        <v>232.148</v>
      </c>
      <c r="P116" s="6">
        <v>489.012</v>
      </c>
      <c r="Q116" s="6">
        <v>701.13099999999997</v>
      </c>
    </row>
    <row r="117" spans="1:17" x14ac:dyDescent="0.35">
      <c r="A117" s="6" t="s">
        <v>86</v>
      </c>
      <c r="B117" s="6" t="s">
        <v>88</v>
      </c>
      <c r="C117" s="6">
        <v>55</v>
      </c>
      <c r="D117" s="6">
        <v>1.1000000000000001</v>
      </c>
      <c r="E117" s="6">
        <v>20.3</v>
      </c>
      <c r="F117" s="6">
        <v>13.1</v>
      </c>
      <c r="G117" s="6">
        <v>10.4</v>
      </c>
      <c r="H117" s="6">
        <v>8.7803895069924724</v>
      </c>
      <c r="I117" s="6">
        <v>40.926584256150328</v>
      </c>
      <c r="J117" s="6">
        <v>34.894321880215386</v>
      </c>
      <c r="K117" s="6">
        <v>0.580171791372457</v>
      </c>
      <c r="L117" s="6">
        <v>11.127000000000001</v>
      </c>
      <c r="M117" s="6">
        <v>6.0460000000000003</v>
      </c>
      <c r="N117" s="6">
        <v>37.433999999999997</v>
      </c>
      <c r="O117" s="6">
        <v>6.5010000000000003</v>
      </c>
      <c r="P117" s="6">
        <v>25.78</v>
      </c>
      <c r="Q117" s="6">
        <v>60.725999999999999</v>
      </c>
    </row>
    <row r="118" spans="1:17" x14ac:dyDescent="0.35">
      <c r="A118" s="6" t="s">
        <v>86</v>
      </c>
      <c r="B118" s="6" t="s">
        <v>92</v>
      </c>
      <c r="C118" s="6">
        <v>263.8</v>
      </c>
      <c r="D118" s="6">
        <v>319.5</v>
      </c>
      <c r="E118" s="6">
        <v>533.9</v>
      </c>
      <c r="F118" s="6">
        <v>442.2</v>
      </c>
      <c r="G118" s="6">
        <v>392</v>
      </c>
      <c r="H118" s="6">
        <v>495.28565784967259</v>
      </c>
      <c r="I118" s="6">
        <v>501.33850792951262</v>
      </c>
      <c r="J118" s="6">
        <v>342.80992315996792</v>
      </c>
      <c r="K118" s="6">
        <v>409.28184150831697</v>
      </c>
      <c r="L118" s="6">
        <v>133.21199999999999</v>
      </c>
      <c r="M118" s="6">
        <v>72.641000000000005</v>
      </c>
      <c r="N118" s="6">
        <v>422.459</v>
      </c>
      <c r="O118" s="6">
        <v>541.08500000000004</v>
      </c>
      <c r="P118" s="6">
        <v>383.80500000000001</v>
      </c>
      <c r="Q118" s="6">
        <v>930.40099999999995</v>
      </c>
    </row>
    <row r="119" spans="1:17" x14ac:dyDescent="0.35">
      <c r="A119" s="6" t="s">
        <v>86</v>
      </c>
      <c r="B119" s="6" t="s">
        <v>93</v>
      </c>
      <c r="C119" s="6">
        <v>258.7</v>
      </c>
      <c r="D119" s="6">
        <v>400.9</v>
      </c>
      <c r="E119" s="6">
        <v>441.9</v>
      </c>
      <c r="F119" s="6">
        <v>325.60000000000002</v>
      </c>
      <c r="G119" s="6">
        <v>397.2</v>
      </c>
      <c r="H119" s="6">
        <v>554.83882009530646</v>
      </c>
      <c r="I119" s="6">
        <v>473.67371830842683</v>
      </c>
      <c r="J119" s="6">
        <v>437.86199451669972</v>
      </c>
      <c r="K119" s="6">
        <v>543.79601339449198</v>
      </c>
      <c r="L119" s="6">
        <v>429.34100000000001</v>
      </c>
      <c r="M119" s="6">
        <v>80.888000000000005</v>
      </c>
      <c r="N119" s="6">
        <v>729.74</v>
      </c>
      <c r="O119" s="6">
        <v>399.142</v>
      </c>
      <c r="P119" s="6">
        <v>686.07299999999998</v>
      </c>
      <c r="Q119" s="6">
        <v>903.28099999999995</v>
      </c>
    </row>
    <row r="120" spans="1:17" x14ac:dyDescent="0.35">
      <c r="A120" s="6" t="s">
        <v>86</v>
      </c>
      <c r="B120" s="6" t="s">
        <v>90</v>
      </c>
      <c r="C120" s="6">
        <v>11.6</v>
      </c>
      <c r="D120" s="6">
        <v>26.5</v>
      </c>
      <c r="E120" s="6">
        <v>0</v>
      </c>
      <c r="F120" s="6">
        <v>11.1</v>
      </c>
      <c r="G120" s="6">
        <v>2</v>
      </c>
      <c r="H120" s="6">
        <v>3.3353182070545428</v>
      </c>
      <c r="I120" s="6">
        <v>20.399549712755839</v>
      </c>
      <c r="J120" s="6">
        <v>74.825331172477036</v>
      </c>
      <c r="K120" s="6">
        <v>9.7885269246117304</v>
      </c>
      <c r="L120" s="6">
        <v>6.1760000000000002</v>
      </c>
      <c r="M120" s="6">
        <v>0</v>
      </c>
      <c r="N120" s="6">
        <v>29.596</v>
      </c>
      <c r="O120" s="6">
        <v>43.82</v>
      </c>
      <c r="P120" s="6">
        <v>61.941000000000003</v>
      </c>
      <c r="Q120" s="6">
        <v>7.8079999999999998</v>
      </c>
    </row>
    <row r="121" spans="1:17" x14ac:dyDescent="0.35">
      <c r="A121" s="6" t="s">
        <v>86</v>
      </c>
      <c r="B121" s="6" t="s">
        <v>91</v>
      </c>
      <c r="C121" s="6">
        <v>2.5</v>
      </c>
      <c r="D121" s="6">
        <v>16.100000000000001</v>
      </c>
      <c r="E121" s="6">
        <v>5.4</v>
      </c>
      <c r="F121" s="6">
        <v>1.9</v>
      </c>
      <c r="G121" s="6">
        <v>5</v>
      </c>
      <c r="H121" s="6">
        <v>13.403753560718981</v>
      </c>
      <c r="I121" s="6">
        <v>140.83284922660081</v>
      </c>
      <c r="J121" s="6">
        <v>9.5839067729516927</v>
      </c>
      <c r="K121" s="6">
        <v>3.6864704212666202</v>
      </c>
      <c r="L121" s="6">
        <v>1.282</v>
      </c>
      <c r="M121" s="6">
        <v>10.222</v>
      </c>
      <c r="N121" s="6">
        <v>4.1689999999999996</v>
      </c>
      <c r="O121" s="6">
        <v>7.2679999999999998</v>
      </c>
      <c r="P121" s="6">
        <v>8.7439999999999998</v>
      </c>
      <c r="Q121" s="6">
        <v>63.905999999999999</v>
      </c>
    </row>
    <row r="122" spans="1:17" x14ac:dyDescent="0.35">
      <c r="A122" s="6" t="s">
        <v>86</v>
      </c>
      <c r="B122" s="6" t="s">
        <v>211</v>
      </c>
      <c r="C122" s="6">
        <v>240.9</v>
      </c>
      <c r="D122" s="6">
        <v>197.4</v>
      </c>
      <c r="E122" s="6">
        <v>306.5</v>
      </c>
      <c r="F122" s="6">
        <v>330.4</v>
      </c>
      <c r="G122" s="6">
        <v>314.3</v>
      </c>
      <c r="H122" s="6">
        <v>300.18754768088962</v>
      </c>
      <c r="I122" s="6">
        <v>352.01440793912423</v>
      </c>
      <c r="J122" s="6">
        <v>730.33019474339062</v>
      </c>
      <c r="K122" s="6">
        <v>916.39365714117605</v>
      </c>
      <c r="L122" s="6">
        <v>354.39</v>
      </c>
      <c r="M122" s="6">
        <v>77.468999999999994</v>
      </c>
      <c r="N122" s="6">
        <v>376.72800000000001</v>
      </c>
      <c r="O122" s="6">
        <v>355.32600000000002</v>
      </c>
      <c r="P122" s="6">
        <v>467.78</v>
      </c>
      <c r="Q122" s="6">
        <v>824.77599999999995</v>
      </c>
    </row>
    <row r="123" spans="1:17" x14ac:dyDescent="0.35">
      <c r="A123" s="6" t="s">
        <v>86</v>
      </c>
      <c r="B123" s="6" t="s">
        <v>94</v>
      </c>
      <c r="C123" s="6">
        <v>0.3</v>
      </c>
      <c r="D123" s="6">
        <v>13.2</v>
      </c>
      <c r="E123" s="6">
        <v>1.5</v>
      </c>
      <c r="F123" s="6">
        <v>0</v>
      </c>
      <c r="G123" s="6">
        <v>1.7</v>
      </c>
      <c r="H123" s="6">
        <v>0</v>
      </c>
      <c r="I123" s="6">
        <v>5.5165117824024126</v>
      </c>
      <c r="J123" s="6">
        <v>5.1384178687168047</v>
      </c>
      <c r="K123" s="6">
        <v>8.3103045272013105</v>
      </c>
      <c r="L123" s="6">
        <v>0</v>
      </c>
      <c r="M123" s="6">
        <v>0</v>
      </c>
      <c r="N123" s="6">
        <v>7.423</v>
      </c>
      <c r="O123" s="6">
        <v>13.781000000000001</v>
      </c>
      <c r="P123" s="6">
        <v>5.8869999999999996</v>
      </c>
      <c r="Q123" s="6">
        <v>22.741</v>
      </c>
    </row>
    <row r="124" spans="1:17" x14ac:dyDescent="0.35">
      <c r="A124" s="6" t="s">
        <v>86</v>
      </c>
      <c r="B124" s="6" t="s">
        <v>212</v>
      </c>
      <c r="C124" s="6">
        <v>23.4</v>
      </c>
      <c r="D124" s="6">
        <v>43.5</v>
      </c>
      <c r="E124" s="6">
        <v>50</v>
      </c>
      <c r="F124" s="6">
        <v>15.3</v>
      </c>
      <c r="G124" s="6">
        <v>50.5</v>
      </c>
      <c r="H124" s="6">
        <v>26.266174647129489</v>
      </c>
      <c r="I124" s="6">
        <v>43.493174530682253</v>
      </c>
      <c r="J124" s="6">
        <v>68.487783307539289</v>
      </c>
      <c r="K124" s="6">
        <v>16.310415828663601</v>
      </c>
      <c r="L124" s="6">
        <v>9.6750000000000007</v>
      </c>
      <c r="M124" s="6">
        <v>4.8360000000000003</v>
      </c>
      <c r="N124" s="6">
        <v>51.866999999999997</v>
      </c>
      <c r="O124" s="6">
        <v>30.538</v>
      </c>
      <c r="P124" s="6">
        <v>23.757999999999999</v>
      </c>
      <c r="Q124" s="6">
        <v>55.201999999999998</v>
      </c>
    </row>
    <row r="125" spans="1:17" x14ac:dyDescent="0.35">
      <c r="A125" s="6" t="s">
        <v>89</v>
      </c>
      <c r="B125" s="6" t="s">
        <v>179</v>
      </c>
      <c r="C125" s="6">
        <v>2300.5</v>
      </c>
      <c r="D125" s="6">
        <v>2159</v>
      </c>
      <c r="E125" s="6">
        <v>2390.5</v>
      </c>
      <c r="F125" s="6">
        <v>2567.5</v>
      </c>
      <c r="G125" s="6">
        <v>2507.5</v>
      </c>
      <c r="H125" s="6">
        <v>1890.6311760000001</v>
      </c>
      <c r="I125" s="6">
        <v>2333.1563449999999</v>
      </c>
      <c r="J125" s="6">
        <v>3117.760666000001</v>
      </c>
      <c r="K125" s="6">
        <v>3579.0845168999999</v>
      </c>
      <c r="L125" s="6">
        <v>2118.6489999999999</v>
      </c>
      <c r="M125" s="6">
        <v>637.71800000000007</v>
      </c>
      <c r="N125" s="6">
        <v>2851.46</v>
      </c>
      <c r="O125" s="6">
        <v>3746.9180000000001</v>
      </c>
      <c r="P125" s="6">
        <v>4612.759</v>
      </c>
      <c r="Q125" s="6">
        <v>5241.3649999999998</v>
      </c>
    </row>
    <row r="126" spans="1:17" x14ac:dyDescent="0.35">
      <c r="A126" s="6" t="s">
        <v>89</v>
      </c>
      <c r="B126" s="6" t="s">
        <v>81</v>
      </c>
      <c r="C126" s="6">
        <v>44.9</v>
      </c>
      <c r="D126" s="6">
        <v>85.7</v>
      </c>
      <c r="E126" s="6">
        <v>101.2</v>
      </c>
      <c r="F126" s="6">
        <v>10.5</v>
      </c>
      <c r="G126" s="6">
        <v>67.2</v>
      </c>
      <c r="H126" s="6">
        <v>97.788155737182777</v>
      </c>
      <c r="I126" s="6">
        <v>122.8946340825625</v>
      </c>
      <c r="J126" s="6">
        <v>208.5187130000001</v>
      </c>
      <c r="K126" s="6">
        <v>66.034158188631096</v>
      </c>
      <c r="L126" s="6">
        <v>17.216000000000001</v>
      </c>
      <c r="M126" s="6">
        <v>21.305</v>
      </c>
      <c r="N126" s="6">
        <v>36.6</v>
      </c>
      <c r="O126" s="6">
        <v>68.3</v>
      </c>
      <c r="P126" s="6">
        <v>124.816</v>
      </c>
      <c r="Q126" s="6">
        <v>123.78400000000001</v>
      </c>
    </row>
    <row r="127" spans="1:17" x14ac:dyDescent="0.35">
      <c r="A127" s="6" t="s">
        <v>89</v>
      </c>
      <c r="B127" s="6" t="s">
        <v>82</v>
      </c>
      <c r="C127" s="6">
        <v>771.2</v>
      </c>
      <c r="D127" s="6">
        <v>573.20000000000005</v>
      </c>
      <c r="E127" s="6">
        <v>467.7</v>
      </c>
      <c r="F127" s="6">
        <v>395.8</v>
      </c>
      <c r="G127" s="6">
        <v>682.4</v>
      </c>
      <c r="H127" s="6">
        <v>526.10259886019014</v>
      </c>
      <c r="I127" s="6">
        <v>753.50143115591675</v>
      </c>
      <c r="J127" s="6">
        <v>606.25948700000004</v>
      </c>
      <c r="K127" s="6">
        <v>1359.3619813166499</v>
      </c>
      <c r="L127" s="6">
        <v>488.32100000000003</v>
      </c>
      <c r="M127" s="6">
        <v>163.12899999999999</v>
      </c>
      <c r="N127" s="6">
        <v>433.95</v>
      </c>
      <c r="O127" s="6">
        <v>1393.9749999999999</v>
      </c>
      <c r="P127" s="6">
        <v>962.03800000000001</v>
      </c>
      <c r="Q127" s="6">
        <v>952.23299999999995</v>
      </c>
    </row>
    <row r="128" spans="1:17" x14ac:dyDescent="0.35">
      <c r="A128" s="6" t="s">
        <v>89</v>
      </c>
      <c r="B128" s="6" t="s">
        <v>83</v>
      </c>
      <c r="C128" s="6">
        <v>89.2</v>
      </c>
      <c r="D128" s="6">
        <v>160.4</v>
      </c>
      <c r="E128" s="6">
        <v>60</v>
      </c>
      <c r="F128" s="6">
        <v>53.3</v>
      </c>
      <c r="G128" s="6">
        <v>95</v>
      </c>
      <c r="H128" s="6">
        <v>42.4034417941388</v>
      </c>
      <c r="I128" s="6">
        <v>94.845784967246132</v>
      </c>
      <c r="J128" s="6">
        <v>63.707842000000042</v>
      </c>
      <c r="K128" s="6">
        <v>243.868625452576</v>
      </c>
      <c r="L128" s="6">
        <v>50.985999999999997</v>
      </c>
      <c r="M128" s="6">
        <v>26.852</v>
      </c>
      <c r="N128" s="6">
        <v>70.296999999999997</v>
      </c>
      <c r="O128" s="6">
        <v>60.777000000000001</v>
      </c>
      <c r="P128" s="6">
        <v>4.76</v>
      </c>
      <c r="Q128" s="6">
        <v>227.934</v>
      </c>
    </row>
    <row r="129" spans="1:17" x14ac:dyDescent="0.35">
      <c r="A129" s="6" t="s">
        <v>89</v>
      </c>
      <c r="B129" s="6" t="s">
        <v>84</v>
      </c>
      <c r="C129" s="6">
        <v>44.5</v>
      </c>
      <c r="D129" s="6">
        <v>43</v>
      </c>
      <c r="E129" s="6">
        <v>83.1</v>
      </c>
      <c r="F129" s="6">
        <v>29.7</v>
      </c>
      <c r="G129" s="6">
        <v>76.3</v>
      </c>
      <c r="H129" s="6">
        <v>48.386849886040217</v>
      </c>
      <c r="I129" s="6">
        <v>30.9171878683423</v>
      </c>
      <c r="J129" s="6">
        <v>41.303262000000032</v>
      </c>
      <c r="K129" s="6">
        <v>55.611605818514001</v>
      </c>
      <c r="L129" s="6">
        <v>9.8659999999999997</v>
      </c>
      <c r="M129" s="6">
        <v>11.356</v>
      </c>
      <c r="N129" s="6">
        <v>60.314999999999998</v>
      </c>
      <c r="O129" s="6">
        <v>58.088000000000001</v>
      </c>
      <c r="P129" s="6">
        <v>210.41499999999999</v>
      </c>
      <c r="Q129" s="6">
        <v>74.643000000000001</v>
      </c>
    </row>
    <row r="130" spans="1:17" x14ac:dyDescent="0.35">
      <c r="A130" s="6" t="s">
        <v>89</v>
      </c>
      <c r="B130" s="6" t="s">
        <v>85</v>
      </c>
      <c r="C130" s="6">
        <v>66.2</v>
      </c>
      <c r="D130" s="6">
        <v>46.1</v>
      </c>
      <c r="E130" s="6">
        <v>62.2</v>
      </c>
      <c r="F130" s="6">
        <v>27.3</v>
      </c>
      <c r="G130" s="6">
        <v>27.2</v>
      </c>
      <c r="H130" s="6">
        <v>70.243610323228708</v>
      </c>
      <c r="I130" s="6">
        <v>29.529163742897509</v>
      </c>
      <c r="J130" s="6">
        <v>47.129890000000039</v>
      </c>
      <c r="K130" s="6">
        <v>20.471070660909401</v>
      </c>
      <c r="L130" s="6">
        <v>17.829000000000001</v>
      </c>
      <c r="M130" s="6">
        <v>8.9529999999999994</v>
      </c>
      <c r="N130" s="6">
        <v>30.041</v>
      </c>
      <c r="O130" s="6">
        <v>50.350999999999999</v>
      </c>
      <c r="P130" s="6">
        <v>67.787000000000006</v>
      </c>
      <c r="Q130" s="6">
        <v>56.642000000000003</v>
      </c>
    </row>
    <row r="131" spans="1:17" x14ac:dyDescent="0.35">
      <c r="A131" s="6" t="s">
        <v>89</v>
      </c>
      <c r="B131" s="6" t="s">
        <v>86</v>
      </c>
      <c r="C131" s="6">
        <v>56.5</v>
      </c>
      <c r="D131" s="6">
        <v>85.6</v>
      </c>
      <c r="E131" s="6">
        <v>53.2</v>
      </c>
      <c r="F131" s="6">
        <v>76.900000000000006</v>
      </c>
      <c r="G131" s="6">
        <v>122.3</v>
      </c>
      <c r="H131" s="6">
        <v>58.609583567097388</v>
      </c>
      <c r="I131" s="6">
        <v>138.67204222330591</v>
      </c>
      <c r="J131" s="6">
        <v>191.5469600000001</v>
      </c>
      <c r="K131" s="6">
        <v>337.78113569059298</v>
      </c>
      <c r="L131" s="6">
        <v>58.351999999999997</v>
      </c>
      <c r="M131" s="6">
        <v>33.350999999999999</v>
      </c>
      <c r="N131" s="6">
        <v>214.661</v>
      </c>
      <c r="O131" s="6">
        <v>196.274</v>
      </c>
      <c r="P131" s="6">
        <v>395.96499999999997</v>
      </c>
      <c r="Q131" s="6">
        <v>537.06700000000001</v>
      </c>
    </row>
    <row r="132" spans="1:17" x14ac:dyDescent="0.35">
      <c r="A132" s="6" t="s">
        <v>89</v>
      </c>
      <c r="B132" s="6" t="s">
        <v>89</v>
      </c>
      <c r="C132" s="6">
        <v>298.60000000000002</v>
      </c>
      <c r="D132" s="6">
        <v>316.39999999999998</v>
      </c>
      <c r="E132" s="6">
        <v>350.2</v>
      </c>
      <c r="F132" s="6">
        <v>365.3</v>
      </c>
      <c r="G132" s="6">
        <v>341.2</v>
      </c>
      <c r="H132" s="6">
        <v>171.67765468416039</v>
      </c>
      <c r="I132" s="6">
        <v>371.45790097867769</v>
      </c>
      <c r="J132" s="6">
        <v>1021.669827000001</v>
      </c>
      <c r="K132" s="6">
        <v>118.516072747395</v>
      </c>
      <c r="L132" s="6">
        <v>747.09</v>
      </c>
      <c r="M132" s="6">
        <v>76.549000000000007</v>
      </c>
      <c r="N132" s="6">
        <v>832.08199999999999</v>
      </c>
      <c r="O132" s="6">
        <v>720.34900000000005</v>
      </c>
      <c r="P132" s="6">
        <v>523.11300000000006</v>
      </c>
      <c r="Q132" s="6">
        <v>323.08600000000001</v>
      </c>
    </row>
    <row r="133" spans="1:17" x14ac:dyDescent="0.35">
      <c r="A133" s="6" t="s">
        <v>89</v>
      </c>
      <c r="B133" s="6" t="s">
        <v>87</v>
      </c>
      <c r="C133" s="6">
        <v>267.5</v>
      </c>
      <c r="D133" s="6">
        <v>417.1</v>
      </c>
      <c r="E133" s="6">
        <v>598.9</v>
      </c>
      <c r="F133" s="6">
        <v>590.4</v>
      </c>
      <c r="G133" s="6">
        <v>354.2</v>
      </c>
      <c r="H133" s="6">
        <v>351.62045021368777</v>
      </c>
      <c r="I133" s="6">
        <v>456.22405890458191</v>
      </c>
      <c r="J133" s="6">
        <v>431.56108000000052</v>
      </c>
      <c r="K133" s="6">
        <v>706.79300963160404</v>
      </c>
      <c r="L133" s="6">
        <v>319.09899999999999</v>
      </c>
      <c r="M133" s="6">
        <v>103.29</v>
      </c>
      <c r="N133" s="6">
        <v>348.87900000000002</v>
      </c>
      <c r="O133" s="6">
        <v>545.85799999999995</v>
      </c>
      <c r="P133" s="6">
        <v>487.14699999999999</v>
      </c>
      <c r="Q133" s="6">
        <v>893.22299999999996</v>
      </c>
    </row>
    <row r="134" spans="1:17" x14ac:dyDescent="0.35">
      <c r="A134" s="6" t="s">
        <v>89</v>
      </c>
      <c r="B134" s="6" t="s">
        <v>88</v>
      </c>
      <c r="C134" s="6">
        <v>148.69999999999999</v>
      </c>
      <c r="D134" s="6">
        <v>73.2</v>
      </c>
      <c r="E134" s="6">
        <v>105</v>
      </c>
      <c r="F134" s="6">
        <v>94</v>
      </c>
      <c r="G134" s="6">
        <v>91</v>
      </c>
      <c r="H134" s="6">
        <v>38.576749801955039</v>
      </c>
      <c r="I134" s="6">
        <v>72.435014812368763</v>
      </c>
      <c r="J134" s="6">
        <v>71.119804000000059</v>
      </c>
      <c r="K134" s="6">
        <v>207.49432982154099</v>
      </c>
      <c r="L134" s="6">
        <v>73.245000000000005</v>
      </c>
      <c r="M134" s="6">
        <v>13.898999999999999</v>
      </c>
      <c r="N134" s="6">
        <v>129.59800000000001</v>
      </c>
      <c r="O134" s="6">
        <v>200.36799999999999</v>
      </c>
      <c r="P134" s="6">
        <v>216.41900000000001</v>
      </c>
      <c r="Q134" s="6">
        <v>285.678</v>
      </c>
    </row>
    <row r="135" spans="1:17" x14ac:dyDescent="0.35">
      <c r="A135" s="6" t="s">
        <v>89</v>
      </c>
      <c r="B135" s="6" t="s">
        <v>92</v>
      </c>
      <c r="C135" s="6">
        <v>116.3</v>
      </c>
      <c r="D135" s="6">
        <v>141.1</v>
      </c>
      <c r="E135" s="6">
        <v>207.2</v>
      </c>
      <c r="F135" s="6">
        <v>196.5</v>
      </c>
      <c r="G135" s="6">
        <v>330.8</v>
      </c>
      <c r="H135" s="6">
        <v>186.1071915262855</v>
      </c>
      <c r="I135" s="6">
        <v>95.835251463531065</v>
      </c>
      <c r="J135" s="6">
        <v>221.24735800000019</v>
      </c>
      <c r="K135" s="6">
        <v>182.35888589173101</v>
      </c>
      <c r="L135" s="6">
        <v>217.245</v>
      </c>
      <c r="M135" s="6">
        <v>35.058</v>
      </c>
      <c r="N135" s="6">
        <v>128.702</v>
      </c>
      <c r="O135" s="6">
        <v>154.39400000000001</v>
      </c>
      <c r="P135" s="6">
        <v>354.50299999999999</v>
      </c>
      <c r="Q135" s="6">
        <v>459.411</v>
      </c>
    </row>
    <row r="136" spans="1:17" x14ac:dyDescent="0.35">
      <c r="A136" s="6" t="s">
        <v>89</v>
      </c>
      <c r="B136" s="6" t="s">
        <v>93</v>
      </c>
      <c r="C136" s="6">
        <v>16.5</v>
      </c>
      <c r="D136" s="6">
        <v>30.9</v>
      </c>
      <c r="E136" s="6">
        <v>37.799999999999997</v>
      </c>
      <c r="F136" s="6">
        <v>49.3</v>
      </c>
      <c r="G136" s="6">
        <v>16.8</v>
      </c>
      <c r="H136" s="6">
        <v>29.73121143632072</v>
      </c>
      <c r="I136" s="6">
        <v>26.32176707795568</v>
      </c>
      <c r="J136" s="6">
        <v>27.692715000000021</v>
      </c>
      <c r="K136" s="6">
        <v>144.40651602922401</v>
      </c>
      <c r="L136" s="6">
        <v>27.853999999999999</v>
      </c>
      <c r="M136" s="6">
        <v>28.387</v>
      </c>
      <c r="N136" s="6">
        <v>101.361</v>
      </c>
      <c r="O136" s="6">
        <v>81.122</v>
      </c>
      <c r="P136" s="6">
        <v>489.88499999999999</v>
      </c>
      <c r="Q136" s="6">
        <v>140.53700000000001</v>
      </c>
    </row>
    <row r="137" spans="1:17" x14ac:dyDescent="0.35">
      <c r="A137" s="6" t="s">
        <v>89</v>
      </c>
      <c r="B137" s="6" t="s">
        <v>90</v>
      </c>
      <c r="C137" s="6">
        <v>16.600000000000001</v>
      </c>
      <c r="D137" s="6">
        <v>13.8</v>
      </c>
      <c r="E137" s="6">
        <v>22.3</v>
      </c>
      <c r="F137" s="6">
        <v>33.4</v>
      </c>
      <c r="G137" s="6">
        <v>1.3</v>
      </c>
      <c r="H137" s="6">
        <v>13.422652795795459</v>
      </c>
      <c r="I137" s="6">
        <v>8.1852503544156239</v>
      </c>
      <c r="J137" s="6">
        <v>8.434520000000008</v>
      </c>
      <c r="K137" s="6">
        <v>43.760215658955403</v>
      </c>
      <c r="L137" s="6">
        <v>24.416</v>
      </c>
      <c r="M137" s="6">
        <v>8.0589999999999993</v>
      </c>
      <c r="N137" s="6">
        <v>24.593</v>
      </c>
      <c r="O137" s="6">
        <v>66.34</v>
      </c>
      <c r="P137" s="6">
        <v>181.89099999999999</v>
      </c>
      <c r="Q137" s="6">
        <v>243.929</v>
      </c>
    </row>
    <row r="138" spans="1:17" x14ac:dyDescent="0.35">
      <c r="A138" s="6" t="s">
        <v>89</v>
      </c>
      <c r="B138" s="6" t="s">
        <v>91</v>
      </c>
      <c r="C138" s="6">
        <v>6.4</v>
      </c>
      <c r="D138" s="6">
        <v>3.8</v>
      </c>
      <c r="E138" s="6">
        <v>32.5</v>
      </c>
      <c r="F138" s="6">
        <v>5.8</v>
      </c>
      <c r="G138" s="6">
        <v>1.3</v>
      </c>
      <c r="H138" s="6">
        <v>20.45694417315061</v>
      </c>
      <c r="I138" s="6">
        <v>14.16372673715758</v>
      </c>
      <c r="J138" s="6">
        <v>41.745454000000038</v>
      </c>
      <c r="K138" s="6">
        <v>18.239214665587301</v>
      </c>
      <c r="L138" s="6">
        <v>8.8759999999999994</v>
      </c>
      <c r="M138" s="6">
        <v>6.9660000000000002</v>
      </c>
      <c r="N138" s="6">
        <v>24.600999999999999</v>
      </c>
      <c r="O138" s="6">
        <v>7.86</v>
      </c>
      <c r="P138" s="6">
        <v>1.0629999999999999</v>
      </c>
      <c r="Q138" s="6">
        <v>134.36000000000001</v>
      </c>
    </row>
    <row r="139" spans="1:17" x14ac:dyDescent="0.35">
      <c r="A139" s="6" t="s">
        <v>89</v>
      </c>
      <c r="B139" s="6" t="s">
        <v>211</v>
      </c>
      <c r="C139" s="6">
        <v>308.10000000000002</v>
      </c>
      <c r="D139" s="6">
        <v>155.5</v>
      </c>
      <c r="E139" s="6">
        <v>160.1</v>
      </c>
      <c r="F139" s="6">
        <v>245.4</v>
      </c>
      <c r="G139" s="6">
        <v>264.60000000000002</v>
      </c>
      <c r="H139" s="6">
        <v>230.95602025256349</v>
      </c>
      <c r="I139" s="6">
        <v>101.0884983674698</v>
      </c>
      <c r="J139" s="6">
        <v>75.843145000000064</v>
      </c>
      <c r="K139" s="6">
        <v>32.351282987668199</v>
      </c>
      <c r="L139" s="6">
        <v>54.356999999999999</v>
      </c>
      <c r="M139" s="6">
        <v>96.266999999999996</v>
      </c>
      <c r="N139" s="6">
        <v>381.17399999999998</v>
      </c>
      <c r="O139" s="6">
        <v>107.502</v>
      </c>
      <c r="P139" s="6">
        <v>539.03099999999995</v>
      </c>
      <c r="Q139" s="6">
        <v>746.83699999999999</v>
      </c>
    </row>
    <row r="140" spans="1:17" x14ac:dyDescent="0.35">
      <c r="A140" s="6" t="s">
        <v>89</v>
      </c>
      <c r="B140" s="6" t="s">
        <v>94</v>
      </c>
      <c r="C140" s="6">
        <v>10.3</v>
      </c>
      <c r="D140" s="6">
        <v>0</v>
      </c>
      <c r="E140" s="6">
        <v>24.5</v>
      </c>
      <c r="F140" s="6">
        <v>0</v>
      </c>
      <c r="G140" s="6">
        <v>1.3</v>
      </c>
      <c r="H140" s="6">
        <v>4.5480609482030756</v>
      </c>
      <c r="I140" s="6">
        <v>8.2509745395021028</v>
      </c>
      <c r="J140" s="6">
        <v>49.543119000000047</v>
      </c>
      <c r="K140" s="6">
        <v>23.740681020783899</v>
      </c>
      <c r="L140" s="6">
        <v>0</v>
      </c>
      <c r="M140" s="6">
        <v>0</v>
      </c>
      <c r="N140" s="6">
        <v>0.16700000000000001</v>
      </c>
      <c r="O140" s="6">
        <v>12.677</v>
      </c>
      <c r="P140" s="6">
        <v>7.9560000000000004</v>
      </c>
      <c r="Q140" s="6">
        <v>1.7949999999999999</v>
      </c>
    </row>
    <row r="141" spans="1:17" x14ac:dyDescent="0.35">
      <c r="A141" s="6" t="s">
        <v>89</v>
      </c>
      <c r="B141" s="6" t="s">
        <v>212</v>
      </c>
      <c r="C141" s="6">
        <v>39.1</v>
      </c>
      <c r="D141" s="6">
        <v>13.3</v>
      </c>
      <c r="E141" s="6">
        <v>24.6</v>
      </c>
      <c r="F141" s="6">
        <v>12.6</v>
      </c>
      <c r="G141" s="6">
        <v>34.6</v>
      </c>
      <c r="H141" s="6">
        <v>0</v>
      </c>
      <c r="I141" s="6">
        <v>8.8336577240680203</v>
      </c>
      <c r="J141" s="6">
        <v>10.437490000000009</v>
      </c>
      <c r="K141" s="6">
        <v>18.2957313176395</v>
      </c>
      <c r="L141" s="6">
        <v>3.8969999999999998</v>
      </c>
      <c r="M141" s="6">
        <v>4.2969999999999997</v>
      </c>
      <c r="N141" s="6">
        <v>34.439</v>
      </c>
      <c r="O141" s="6">
        <v>22.683</v>
      </c>
      <c r="P141" s="6">
        <v>45.97</v>
      </c>
      <c r="Q141" s="6">
        <v>40.206000000000003</v>
      </c>
    </row>
    <row r="142" spans="1:17" x14ac:dyDescent="0.35">
      <c r="A142" s="6" t="s">
        <v>87</v>
      </c>
      <c r="B142" s="6" t="s">
        <v>179</v>
      </c>
      <c r="C142" s="6">
        <v>2519.9</v>
      </c>
      <c r="D142" s="6">
        <v>3263.4</v>
      </c>
      <c r="E142" s="6">
        <v>3839.3</v>
      </c>
      <c r="F142" s="6">
        <v>4374.8</v>
      </c>
      <c r="G142" s="6">
        <v>4340.3999999999996</v>
      </c>
      <c r="H142" s="6">
        <v>4602.9251730000033</v>
      </c>
      <c r="I142" s="6">
        <v>5850.629546000001</v>
      </c>
      <c r="J142" s="6">
        <v>6021.5545350000039</v>
      </c>
      <c r="K142" s="6">
        <v>6713.6933502000002</v>
      </c>
      <c r="L142" s="6">
        <v>4039.6080000000002</v>
      </c>
      <c r="M142" s="6">
        <v>917.2</v>
      </c>
      <c r="N142" s="6">
        <v>3535.3519999999999</v>
      </c>
      <c r="O142" s="6">
        <v>4972.1620000000003</v>
      </c>
      <c r="P142" s="6">
        <v>6827.4589999999998</v>
      </c>
      <c r="Q142" s="6">
        <v>9810.1679999999997</v>
      </c>
    </row>
    <row r="143" spans="1:17" x14ac:dyDescent="0.35">
      <c r="A143" s="6" t="s">
        <v>87</v>
      </c>
      <c r="B143" s="6" t="s">
        <v>81</v>
      </c>
      <c r="C143" s="6">
        <v>69</v>
      </c>
      <c r="D143" s="6">
        <v>164.4</v>
      </c>
      <c r="E143" s="6">
        <v>185.9</v>
      </c>
      <c r="F143" s="6">
        <v>215.9</v>
      </c>
      <c r="G143" s="6">
        <v>57.9</v>
      </c>
      <c r="H143" s="6">
        <v>116.93623844030181</v>
      </c>
      <c r="I143" s="6">
        <v>202.4935537716355</v>
      </c>
      <c r="J143" s="6">
        <v>233.4102726893309</v>
      </c>
      <c r="K143" s="6">
        <v>96.5212153481732</v>
      </c>
      <c r="L143" s="6">
        <v>17.422000000000001</v>
      </c>
      <c r="M143" s="6">
        <v>51.113999999999997</v>
      </c>
      <c r="N143" s="6">
        <v>150.05500000000001</v>
      </c>
      <c r="O143" s="6">
        <v>146.96600000000001</v>
      </c>
      <c r="P143" s="6">
        <v>282.36700000000002</v>
      </c>
      <c r="Q143" s="6">
        <v>492.392</v>
      </c>
    </row>
    <row r="144" spans="1:17" x14ac:dyDescent="0.35">
      <c r="A144" s="6" t="s">
        <v>87</v>
      </c>
      <c r="B144" s="6" t="s">
        <v>82</v>
      </c>
      <c r="C144" s="6">
        <v>227.5</v>
      </c>
      <c r="D144" s="6">
        <v>175.3</v>
      </c>
      <c r="E144" s="6">
        <v>471.9</v>
      </c>
      <c r="F144" s="6">
        <v>530.4</v>
      </c>
      <c r="G144" s="6">
        <v>353.8</v>
      </c>
      <c r="H144" s="6">
        <v>254.30900566236349</v>
      </c>
      <c r="I144" s="6">
        <v>633.19301277284399</v>
      </c>
      <c r="J144" s="6">
        <v>815.94253515505375</v>
      </c>
      <c r="K144" s="6">
        <v>709.21218503830403</v>
      </c>
      <c r="L144" s="6">
        <v>266.28800000000001</v>
      </c>
      <c r="M144" s="6">
        <v>85.304000000000002</v>
      </c>
      <c r="N144" s="6">
        <v>413.52300000000002</v>
      </c>
      <c r="O144" s="6">
        <v>507.94099999999997</v>
      </c>
      <c r="P144" s="6">
        <v>659.70500000000004</v>
      </c>
      <c r="Q144" s="6">
        <v>622.50599999999997</v>
      </c>
    </row>
    <row r="145" spans="1:17" x14ac:dyDescent="0.35">
      <c r="A145" s="6" t="s">
        <v>87</v>
      </c>
      <c r="B145" s="6" t="s">
        <v>83</v>
      </c>
      <c r="C145" s="6">
        <v>82.7</v>
      </c>
      <c r="D145" s="6">
        <v>74.900000000000006</v>
      </c>
      <c r="E145" s="6">
        <v>168.7</v>
      </c>
      <c r="F145" s="6">
        <v>117.1</v>
      </c>
      <c r="G145" s="6">
        <v>177.3</v>
      </c>
      <c r="H145" s="6">
        <v>139.63771536557721</v>
      </c>
      <c r="I145" s="6">
        <v>202.1863127304166</v>
      </c>
      <c r="J145" s="6">
        <v>190.70843980301279</v>
      </c>
      <c r="K145" s="6">
        <v>300.39173263861898</v>
      </c>
      <c r="L145" s="6">
        <v>100.31699999999999</v>
      </c>
      <c r="M145" s="6">
        <v>56.781999999999996</v>
      </c>
      <c r="N145" s="6">
        <v>43.168999999999997</v>
      </c>
      <c r="O145" s="6">
        <v>264.53699999999998</v>
      </c>
      <c r="P145" s="6">
        <v>245.39699999999999</v>
      </c>
      <c r="Q145" s="6">
        <v>473.88600000000002</v>
      </c>
    </row>
    <row r="146" spans="1:17" x14ac:dyDescent="0.35">
      <c r="A146" s="6" t="s">
        <v>87</v>
      </c>
      <c r="B146" s="6" t="s">
        <v>84</v>
      </c>
      <c r="C146" s="6">
        <v>63.9</v>
      </c>
      <c r="D146" s="6">
        <v>56.8</v>
      </c>
      <c r="E146" s="6">
        <v>154.19999999999999</v>
      </c>
      <c r="F146" s="6">
        <v>109.7</v>
      </c>
      <c r="G146" s="6">
        <v>92.3</v>
      </c>
      <c r="H146" s="6">
        <v>43.714714319465131</v>
      </c>
      <c r="I146" s="6">
        <v>159.3818955595253</v>
      </c>
      <c r="J146" s="6">
        <v>115.47490658475731</v>
      </c>
      <c r="K146" s="6">
        <v>83.1109745202195</v>
      </c>
      <c r="L146" s="6">
        <v>146.73400000000001</v>
      </c>
      <c r="M146" s="6">
        <v>26.356000000000002</v>
      </c>
      <c r="N146" s="6">
        <v>182.63499999999999</v>
      </c>
      <c r="O146" s="6">
        <v>77.960999999999999</v>
      </c>
      <c r="P146" s="6">
        <v>202.44399999999999</v>
      </c>
      <c r="Q146" s="6">
        <v>448.90600000000001</v>
      </c>
    </row>
    <row r="147" spans="1:17" x14ac:dyDescent="0.35">
      <c r="A147" s="6" t="s">
        <v>87</v>
      </c>
      <c r="B147" s="6" t="s">
        <v>85</v>
      </c>
      <c r="C147" s="6">
        <v>66.2</v>
      </c>
      <c r="D147" s="6">
        <v>66.5</v>
      </c>
      <c r="E147" s="6">
        <v>153.5</v>
      </c>
      <c r="F147" s="6">
        <v>112.2</v>
      </c>
      <c r="G147" s="6">
        <v>104.2</v>
      </c>
      <c r="H147" s="6">
        <v>157.16803380405051</v>
      </c>
      <c r="I147" s="6">
        <v>89.299415496530784</v>
      </c>
      <c r="J147" s="6">
        <v>106.03790212586389</v>
      </c>
      <c r="K147" s="6">
        <v>99.171997752101205</v>
      </c>
      <c r="L147" s="6">
        <v>96.567999999999998</v>
      </c>
      <c r="M147" s="6">
        <v>2.681</v>
      </c>
      <c r="N147" s="6">
        <v>64.394999999999996</v>
      </c>
      <c r="O147" s="6">
        <v>45.192</v>
      </c>
      <c r="P147" s="6">
        <v>186.79599999999999</v>
      </c>
      <c r="Q147" s="6">
        <v>266.798</v>
      </c>
    </row>
    <row r="148" spans="1:17" x14ac:dyDescent="0.35">
      <c r="A148" s="6" t="s">
        <v>87</v>
      </c>
      <c r="B148" s="6" t="s">
        <v>86</v>
      </c>
      <c r="C148" s="6">
        <v>88.2</v>
      </c>
      <c r="D148" s="6">
        <v>108</v>
      </c>
      <c r="E148" s="6">
        <v>215.4</v>
      </c>
      <c r="F148" s="6">
        <v>128.9</v>
      </c>
      <c r="G148" s="6">
        <v>82.7</v>
      </c>
      <c r="H148" s="6">
        <v>530.89871201080155</v>
      </c>
      <c r="I148" s="6">
        <v>556.65083173828282</v>
      </c>
      <c r="J148" s="6">
        <v>813.41956182035631</v>
      </c>
      <c r="K148" s="6">
        <v>292.10722600907798</v>
      </c>
      <c r="L148" s="6">
        <v>314.33</v>
      </c>
      <c r="M148" s="6">
        <v>15.403</v>
      </c>
      <c r="N148" s="6">
        <v>200.53299999999999</v>
      </c>
      <c r="O148" s="6">
        <v>182.93100000000001</v>
      </c>
      <c r="P148" s="6">
        <v>432.226</v>
      </c>
      <c r="Q148" s="6">
        <v>648.82399999999996</v>
      </c>
    </row>
    <row r="149" spans="1:17" x14ac:dyDescent="0.35">
      <c r="A149" s="6" t="s">
        <v>87</v>
      </c>
      <c r="B149" s="6" t="s">
        <v>89</v>
      </c>
      <c r="C149" s="6">
        <v>401.3</v>
      </c>
      <c r="D149" s="6">
        <v>355.9</v>
      </c>
      <c r="E149" s="6">
        <v>285.5</v>
      </c>
      <c r="F149" s="6">
        <v>475.1</v>
      </c>
      <c r="G149" s="6">
        <v>213.3</v>
      </c>
      <c r="H149" s="6">
        <v>334.39066945535433</v>
      </c>
      <c r="I149" s="6">
        <v>580.14997185932282</v>
      </c>
      <c r="J149" s="6">
        <v>837.43219372832527</v>
      </c>
      <c r="K149" s="6">
        <v>715.24358415067502</v>
      </c>
      <c r="L149" s="6">
        <v>491.01499999999999</v>
      </c>
      <c r="M149" s="6">
        <v>52.93</v>
      </c>
      <c r="N149" s="6">
        <v>153.71</v>
      </c>
      <c r="O149" s="6">
        <v>259.36599999999999</v>
      </c>
      <c r="P149" s="6">
        <v>384.44299999999998</v>
      </c>
      <c r="Q149" s="6">
        <v>836.18499999999995</v>
      </c>
    </row>
    <row r="150" spans="1:17" x14ac:dyDescent="0.35">
      <c r="A150" s="6" t="s">
        <v>87</v>
      </c>
      <c r="B150" s="6" t="s">
        <v>87</v>
      </c>
      <c r="C150" s="6">
        <v>796.9</v>
      </c>
      <c r="D150" s="6">
        <v>1133.3</v>
      </c>
      <c r="E150" s="6">
        <v>1150.0999999999999</v>
      </c>
      <c r="F150" s="6">
        <v>1351.7</v>
      </c>
      <c r="G150" s="6">
        <v>2388.2000724338109</v>
      </c>
      <c r="H150" s="6">
        <v>1442.6840054782649</v>
      </c>
      <c r="I150" s="6">
        <v>1950.768678258079</v>
      </c>
      <c r="J150" s="6">
        <v>1267.667995145546</v>
      </c>
      <c r="K150" s="6">
        <v>2485.03510450354</v>
      </c>
      <c r="L150" s="6">
        <v>1370.125</v>
      </c>
      <c r="M150" s="6">
        <v>443.88400000000001</v>
      </c>
      <c r="N150" s="6">
        <v>1308.7249999999999</v>
      </c>
      <c r="O150" s="6">
        <v>2254.1619999999998</v>
      </c>
      <c r="P150" s="6">
        <v>1886.9659999999999</v>
      </c>
      <c r="Q150" s="6">
        <v>1591.3140000000001</v>
      </c>
    </row>
    <row r="151" spans="1:17" x14ac:dyDescent="0.35">
      <c r="A151" s="6" t="s">
        <v>87</v>
      </c>
      <c r="B151" s="6" t="s">
        <v>88</v>
      </c>
      <c r="C151" s="6">
        <v>62.9</v>
      </c>
      <c r="D151" s="6">
        <v>43.6</v>
      </c>
      <c r="E151" s="6">
        <v>53.1</v>
      </c>
      <c r="F151" s="6">
        <v>21.6</v>
      </c>
      <c r="G151" s="6">
        <v>24.6</v>
      </c>
      <c r="H151" s="6">
        <v>92.192586535669676</v>
      </c>
      <c r="I151" s="6">
        <v>64.609929566387478</v>
      </c>
      <c r="J151" s="6">
        <v>76.744616895721961</v>
      </c>
      <c r="K151" s="6">
        <v>59.7198337479158</v>
      </c>
      <c r="L151" s="6">
        <v>74.790000000000006</v>
      </c>
      <c r="M151" s="6">
        <v>2.04</v>
      </c>
      <c r="N151" s="6">
        <v>42.116</v>
      </c>
      <c r="O151" s="6">
        <v>61.594000000000001</v>
      </c>
      <c r="P151" s="6">
        <v>102.461</v>
      </c>
      <c r="Q151" s="6">
        <v>190.37899999999999</v>
      </c>
    </row>
    <row r="152" spans="1:17" x14ac:dyDescent="0.35">
      <c r="A152" s="6" t="s">
        <v>87</v>
      </c>
      <c r="B152" s="6" t="s">
        <v>92</v>
      </c>
      <c r="C152" s="6">
        <v>204.6</v>
      </c>
      <c r="D152" s="6">
        <v>532.5</v>
      </c>
      <c r="E152" s="6">
        <v>571</v>
      </c>
      <c r="F152" s="6">
        <v>676.6</v>
      </c>
      <c r="G152" s="6">
        <v>366.9</v>
      </c>
      <c r="H152" s="6">
        <v>597.85085229456308</v>
      </c>
      <c r="I152" s="6">
        <v>704.09679556497417</v>
      </c>
      <c r="J152" s="6">
        <v>627.22185636279085</v>
      </c>
      <c r="K152" s="6">
        <v>1047.43553615206</v>
      </c>
      <c r="L152" s="6">
        <v>438.86399999999998</v>
      </c>
      <c r="M152" s="6">
        <v>16.686</v>
      </c>
      <c r="N152" s="6">
        <v>343.76400000000001</v>
      </c>
      <c r="O152" s="6">
        <v>619.88</v>
      </c>
      <c r="P152" s="6">
        <v>1053.8530000000001</v>
      </c>
      <c r="Q152" s="6">
        <v>1716.4670000000001</v>
      </c>
    </row>
    <row r="153" spans="1:17" x14ac:dyDescent="0.35">
      <c r="A153" s="6" t="s">
        <v>87</v>
      </c>
      <c r="B153" s="6" t="s">
        <v>93</v>
      </c>
      <c r="C153" s="6">
        <v>10.9</v>
      </c>
      <c r="D153" s="6">
        <v>47.6</v>
      </c>
      <c r="E153" s="6">
        <v>54.1</v>
      </c>
      <c r="F153" s="6">
        <v>109.4</v>
      </c>
      <c r="G153" s="6">
        <v>44.3</v>
      </c>
      <c r="H153" s="6">
        <v>136.32339449288961</v>
      </c>
      <c r="I153" s="6">
        <v>98.450511873430344</v>
      </c>
      <c r="J153" s="6">
        <v>26.198527570564838</v>
      </c>
      <c r="K153" s="6">
        <v>90.540502143766105</v>
      </c>
      <c r="L153" s="6">
        <v>38.118000000000002</v>
      </c>
      <c r="M153" s="6">
        <v>60.435000000000002</v>
      </c>
      <c r="N153" s="6">
        <v>70.638999999999996</v>
      </c>
      <c r="O153" s="6">
        <v>148.99299999999999</v>
      </c>
      <c r="P153" s="6">
        <v>256.26900000000001</v>
      </c>
      <c r="Q153" s="6">
        <v>361.67899999999997</v>
      </c>
    </row>
    <row r="154" spans="1:17" x14ac:dyDescent="0.35">
      <c r="A154" s="6" t="s">
        <v>87</v>
      </c>
      <c r="B154" s="6" t="s">
        <v>90</v>
      </c>
      <c r="C154" s="6">
        <v>4.0999999999999996</v>
      </c>
      <c r="D154" s="6">
        <v>13.1</v>
      </c>
      <c r="E154" s="6">
        <v>0</v>
      </c>
      <c r="F154" s="6">
        <v>47.6</v>
      </c>
      <c r="G154" s="6">
        <v>4.7</v>
      </c>
      <c r="H154" s="6">
        <v>38.220509848317292</v>
      </c>
      <c r="I154" s="6">
        <v>7.1002013497868717</v>
      </c>
      <c r="J154" s="6">
        <v>11.201060800531231</v>
      </c>
      <c r="K154" s="6">
        <v>29.835304305072398</v>
      </c>
      <c r="L154" s="6">
        <v>159.351</v>
      </c>
      <c r="M154" s="6">
        <v>8.7249999999999996</v>
      </c>
      <c r="N154" s="6">
        <v>17.472000000000001</v>
      </c>
      <c r="O154" s="6">
        <v>33.381999999999998</v>
      </c>
      <c r="P154" s="6">
        <v>77.563999999999993</v>
      </c>
      <c r="Q154" s="6">
        <v>144.916</v>
      </c>
    </row>
    <row r="155" spans="1:17" x14ac:dyDescent="0.35">
      <c r="A155" s="6" t="s">
        <v>87</v>
      </c>
      <c r="B155" s="6" t="s">
        <v>91</v>
      </c>
      <c r="C155" s="6">
        <v>15.6</v>
      </c>
      <c r="D155" s="6">
        <v>10.1</v>
      </c>
      <c r="E155" s="6">
        <v>0</v>
      </c>
      <c r="F155" s="6">
        <v>2.9</v>
      </c>
      <c r="G155" s="6">
        <v>39.6</v>
      </c>
      <c r="H155" s="6">
        <v>85.434728839652564</v>
      </c>
      <c r="I155" s="6">
        <v>57.592726503823123</v>
      </c>
      <c r="J155" s="6">
        <v>93.519409750953301</v>
      </c>
      <c r="K155" s="6">
        <v>19.9020669934423</v>
      </c>
      <c r="L155" s="6">
        <v>8.343</v>
      </c>
      <c r="M155" s="6">
        <v>12.972</v>
      </c>
      <c r="N155" s="6">
        <v>64.599000000000004</v>
      </c>
      <c r="O155" s="6">
        <v>17.811</v>
      </c>
      <c r="P155" s="6">
        <v>37.393999999999998</v>
      </c>
      <c r="Q155" s="6">
        <v>143.923</v>
      </c>
    </row>
    <row r="156" spans="1:17" x14ac:dyDescent="0.35">
      <c r="A156" s="6" t="s">
        <v>87</v>
      </c>
      <c r="B156" s="6" t="s">
        <v>211</v>
      </c>
      <c r="C156" s="6">
        <v>387.2</v>
      </c>
      <c r="D156" s="6">
        <v>394</v>
      </c>
      <c r="E156" s="6">
        <v>343.1</v>
      </c>
      <c r="F156" s="6">
        <v>489.8</v>
      </c>
      <c r="G156" s="6">
        <v>359.9</v>
      </c>
      <c r="H156" s="6">
        <v>584.2152105351289</v>
      </c>
      <c r="I156" s="6">
        <v>512.97412773216786</v>
      </c>
      <c r="J156" s="6">
        <v>765.4213072346613</v>
      </c>
      <c r="K156" s="6">
        <v>609.96692113369102</v>
      </c>
      <c r="L156" s="6">
        <v>383.89699999999999</v>
      </c>
      <c r="M156" s="6">
        <v>66.887</v>
      </c>
      <c r="N156" s="6">
        <v>424.85500000000002</v>
      </c>
      <c r="O156" s="6">
        <v>327.411</v>
      </c>
      <c r="P156" s="6">
        <v>909.00900000000001</v>
      </c>
      <c r="Q156" s="6">
        <v>1771.2439999999999</v>
      </c>
    </row>
    <row r="157" spans="1:17" x14ac:dyDescent="0.35">
      <c r="A157" s="6" t="s">
        <v>87</v>
      </c>
      <c r="B157" s="6" t="s">
        <v>94</v>
      </c>
      <c r="C157" s="6">
        <v>16</v>
      </c>
      <c r="D157" s="6">
        <v>0</v>
      </c>
      <c r="E157" s="6">
        <v>0</v>
      </c>
      <c r="F157" s="6">
        <v>0</v>
      </c>
      <c r="G157" s="6">
        <v>4.7</v>
      </c>
      <c r="H157" s="6">
        <v>21.849783851716492</v>
      </c>
      <c r="I157" s="6">
        <v>13.77443839638987</v>
      </c>
      <c r="J157" s="6">
        <v>13.92652440524448</v>
      </c>
      <c r="K157" s="6">
        <v>18.0660938982201</v>
      </c>
      <c r="L157" s="6">
        <v>0</v>
      </c>
      <c r="M157" s="6">
        <v>3.5840000000000001</v>
      </c>
      <c r="N157" s="6">
        <v>4.008</v>
      </c>
      <c r="O157" s="6">
        <v>8.532</v>
      </c>
      <c r="P157" s="6">
        <v>20.276</v>
      </c>
      <c r="Q157" s="6">
        <v>3.5179999999999998</v>
      </c>
    </row>
    <row r="158" spans="1:17" x14ac:dyDescent="0.35">
      <c r="A158" s="6" t="s">
        <v>87</v>
      </c>
      <c r="B158" s="6" t="s">
        <v>212</v>
      </c>
      <c r="C158" s="6">
        <v>23</v>
      </c>
      <c r="D158" s="6">
        <v>87.2</v>
      </c>
      <c r="E158" s="6">
        <v>32.799999999999997</v>
      </c>
      <c r="F158" s="6">
        <v>50.4</v>
      </c>
      <c r="G158" s="6">
        <v>25.9</v>
      </c>
      <c r="H158" s="6">
        <v>27.09901206588545</v>
      </c>
      <c r="I158" s="6">
        <v>17.907142826404488</v>
      </c>
      <c r="J158" s="6">
        <v>27.227424927288901</v>
      </c>
      <c r="K158" s="6">
        <v>57.433071865119601</v>
      </c>
      <c r="L158" s="6">
        <v>133.446</v>
      </c>
      <c r="M158" s="6">
        <v>11.417</v>
      </c>
      <c r="N158" s="6">
        <v>51.154000000000003</v>
      </c>
      <c r="O158" s="6">
        <v>15.503</v>
      </c>
      <c r="P158" s="6">
        <v>90.289000000000001</v>
      </c>
      <c r="Q158" s="6">
        <v>97.230999999999995</v>
      </c>
    </row>
    <row r="159" spans="1:17" x14ac:dyDescent="0.35">
      <c r="A159" s="6" t="s">
        <v>88</v>
      </c>
      <c r="B159" s="6" t="s">
        <v>179</v>
      </c>
      <c r="C159" s="6">
        <v>62</v>
      </c>
      <c r="D159" s="6">
        <v>283.39999999999998</v>
      </c>
      <c r="E159" s="6">
        <v>302.89999999999998</v>
      </c>
      <c r="F159" s="6">
        <v>320.7</v>
      </c>
      <c r="G159" s="6">
        <v>377.9</v>
      </c>
      <c r="H159" s="6">
        <v>416.87977599999988</v>
      </c>
      <c r="I159" s="6">
        <v>270.05756999999988</v>
      </c>
      <c r="J159" s="6">
        <v>520.09356600000012</v>
      </c>
      <c r="K159" s="6">
        <v>526.31963989999997</v>
      </c>
      <c r="L159" s="6">
        <v>243.34800000000001</v>
      </c>
      <c r="M159" s="6">
        <v>69.314999999999998</v>
      </c>
      <c r="N159" s="6">
        <v>357.709</v>
      </c>
      <c r="O159" s="6">
        <v>581.34400000000005</v>
      </c>
      <c r="P159" s="6">
        <v>933.18499999999995</v>
      </c>
      <c r="Q159" s="6">
        <v>1261.1030000000001</v>
      </c>
    </row>
    <row r="160" spans="1:17" x14ac:dyDescent="0.35">
      <c r="A160" s="6" t="s">
        <v>88</v>
      </c>
      <c r="B160" s="6" t="s">
        <v>81</v>
      </c>
      <c r="C160" s="6">
        <v>3</v>
      </c>
      <c r="D160" s="6">
        <v>5.7</v>
      </c>
      <c r="E160" s="6">
        <v>4.8</v>
      </c>
      <c r="F160" s="6">
        <v>45.3</v>
      </c>
      <c r="G160" s="6">
        <v>2.4</v>
      </c>
      <c r="H160" s="6">
        <v>10.240997700285719</v>
      </c>
      <c r="I160" s="6">
        <v>7.1426921048970931</v>
      </c>
      <c r="J160" s="6">
        <v>11.197782</v>
      </c>
      <c r="K160" s="6">
        <v>19.212424261826101</v>
      </c>
      <c r="L160" s="6">
        <v>9.7059999999999995</v>
      </c>
      <c r="M160" s="6">
        <v>7.0750000000000002</v>
      </c>
      <c r="N160" s="6">
        <v>4.0069999999999997</v>
      </c>
      <c r="O160" s="6">
        <v>16.745999999999999</v>
      </c>
      <c r="P160" s="6">
        <v>20.527999999999999</v>
      </c>
      <c r="Q160" s="6">
        <v>40.988</v>
      </c>
    </row>
    <row r="161" spans="1:17" x14ac:dyDescent="0.35">
      <c r="A161" s="6" t="s">
        <v>88</v>
      </c>
      <c r="B161" s="6" t="s">
        <v>82</v>
      </c>
      <c r="C161" s="6">
        <v>13.3</v>
      </c>
      <c r="D161" s="6">
        <v>107</v>
      </c>
      <c r="E161" s="6">
        <v>104.8</v>
      </c>
      <c r="F161" s="6">
        <v>165.6</v>
      </c>
      <c r="G161" s="6">
        <v>102.3</v>
      </c>
      <c r="H161" s="6">
        <v>147.69215607932219</v>
      </c>
      <c r="I161" s="6">
        <v>74.427561096102252</v>
      </c>
      <c r="J161" s="6">
        <v>167.6379840000001</v>
      </c>
      <c r="K161" s="6">
        <v>133.90631954140201</v>
      </c>
      <c r="L161" s="6">
        <v>76.278000000000006</v>
      </c>
      <c r="M161" s="6">
        <v>11.135</v>
      </c>
      <c r="N161" s="6">
        <v>88.043999999999997</v>
      </c>
      <c r="O161" s="6">
        <v>168.63499999999999</v>
      </c>
      <c r="P161" s="6">
        <v>238.57300000000001</v>
      </c>
      <c r="Q161" s="6">
        <v>279.678</v>
      </c>
    </row>
    <row r="162" spans="1:17" x14ac:dyDescent="0.35">
      <c r="A162" s="6" t="s">
        <v>88</v>
      </c>
      <c r="B162" s="6" t="s">
        <v>83</v>
      </c>
      <c r="C162" s="6">
        <v>0.5</v>
      </c>
      <c r="D162" s="6">
        <v>8.1</v>
      </c>
      <c r="E162" s="6">
        <v>14.2</v>
      </c>
      <c r="F162" s="6">
        <v>10.8</v>
      </c>
      <c r="G162" s="6">
        <v>13.6</v>
      </c>
      <c r="H162" s="6">
        <v>11.16142436525792</v>
      </c>
      <c r="I162" s="6">
        <v>27.08511066320952</v>
      </c>
      <c r="J162" s="6">
        <v>36.418118000000007</v>
      </c>
      <c r="K162" s="6">
        <v>23.199652051016098</v>
      </c>
      <c r="L162" s="6">
        <v>12.018000000000001</v>
      </c>
      <c r="M162" s="6">
        <v>1.4690000000000001</v>
      </c>
      <c r="N162" s="6">
        <v>33.567</v>
      </c>
      <c r="O162" s="6">
        <v>48.715000000000003</v>
      </c>
      <c r="P162" s="6">
        <v>34.567</v>
      </c>
      <c r="Q162" s="6">
        <v>85.72</v>
      </c>
    </row>
    <row r="163" spans="1:17" x14ac:dyDescent="0.35">
      <c r="A163" s="6" t="s">
        <v>88</v>
      </c>
      <c r="B163" s="6" t="s">
        <v>84</v>
      </c>
      <c r="C163" s="6">
        <v>5.7</v>
      </c>
      <c r="D163" s="6">
        <v>4.8</v>
      </c>
      <c r="E163" s="6">
        <v>8.8000000000000007</v>
      </c>
      <c r="F163" s="6">
        <v>5.6</v>
      </c>
      <c r="G163" s="6">
        <v>15.2</v>
      </c>
      <c r="H163" s="6">
        <v>7.1213143879180096</v>
      </c>
      <c r="I163" s="6">
        <v>5.410207373639528</v>
      </c>
      <c r="J163" s="6">
        <v>8.6842840000000034</v>
      </c>
      <c r="K163" s="6">
        <v>8.4057968347769698</v>
      </c>
      <c r="L163" s="6">
        <v>3.9369999999999998</v>
      </c>
      <c r="M163" s="6">
        <v>1.179</v>
      </c>
      <c r="N163" s="6">
        <v>3.16</v>
      </c>
      <c r="O163" s="6">
        <v>12.124000000000001</v>
      </c>
      <c r="P163" s="6">
        <v>6.7759999999999998</v>
      </c>
      <c r="Q163" s="6">
        <v>92.885000000000005</v>
      </c>
    </row>
    <row r="164" spans="1:17" x14ac:dyDescent="0.35">
      <c r="A164" s="6" t="s">
        <v>88</v>
      </c>
      <c r="B164" s="6" t="s">
        <v>85</v>
      </c>
      <c r="C164" s="6">
        <v>3.6</v>
      </c>
      <c r="D164" s="6">
        <v>6.7</v>
      </c>
      <c r="E164" s="6">
        <v>5.5</v>
      </c>
      <c r="F164" s="6">
        <v>7.6</v>
      </c>
      <c r="G164" s="6">
        <v>5.3</v>
      </c>
      <c r="H164" s="6">
        <v>12.142141592305791</v>
      </c>
      <c r="I164" s="6">
        <v>3.9121309855279782</v>
      </c>
      <c r="J164" s="6">
        <v>16.623359000000011</v>
      </c>
      <c r="K164" s="6">
        <v>15.411250174749</v>
      </c>
      <c r="L164" s="6">
        <v>26.334</v>
      </c>
      <c r="M164" s="6">
        <v>2.4340000000000002</v>
      </c>
      <c r="N164" s="6">
        <v>4.391</v>
      </c>
      <c r="O164" s="6">
        <v>5.2750000000000004</v>
      </c>
      <c r="P164" s="6">
        <v>13.4</v>
      </c>
      <c r="Q164" s="6">
        <v>64.994</v>
      </c>
    </row>
    <row r="165" spans="1:17" x14ac:dyDescent="0.35">
      <c r="A165" s="6" t="s">
        <v>88</v>
      </c>
      <c r="B165" s="6" t="s">
        <v>86</v>
      </c>
      <c r="C165" s="6">
        <v>2.6</v>
      </c>
      <c r="D165" s="6">
        <v>20.9</v>
      </c>
      <c r="E165" s="6">
        <v>10.199999999999999</v>
      </c>
      <c r="F165" s="6">
        <v>13.1</v>
      </c>
      <c r="G165" s="6">
        <v>14.5</v>
      </c>
      <c r="H165" s="6">
        <v>3.9012848120924271</v>
      </c>
      <c r="I165" s="6">
        <v>14.13623003229754</v>
      </c>
      <c r="J165" s="6">
        <v>7.4695590000000021</v>
      </c>
      <c r="K165" s="6">
        <v>19.5503072614679</v>
      </c>
      <c r="L165" s="6">
        <v>4.9749999999999996</v>
      </c>
      <c r="M165" s="6">
        <v>2.9390000000000001</v>
      </c>
      <c r="N165" s="6">
        <v>6.8540000000000001</v>
      </c>
      <c r="O165" s="6">
        <v>16.928999999999998</v>
      </c>
      <c r="P165" s="6">
        <v>75.114999999999995</v>
      </c>
      <c r="Q165" s="6">
        <v>78.512</v>
      </c>
    </row>
    <row r="166" spans="1:17" x14ac:dyDescent="0.35">
      <c r="A166" s="6" t="s">
        <v>88</v>
      </c>
      <c r="B166" s="6" t="s">
        <v>89</v>
      </c>
      <c r="C166" s="6">
        <v>6.6</v>
      </c>
      <c r="D166" s="6">
        <v>32.700000000000003</v>
      </c>
      <c r="E166" s="6">
        <v>43.8</v>
      </c>
      <c r="F166" s="6">
        <v>37.9</v>
      </c>
      <c r="G166" s="6">
        <v>61.7</v>
      </c>
      <c r="H166" s="6">
        <v>85.932675985424467</v>
      </c>
      <c r="I166" s="6">
        <v>22.33469456263764</v>
      </c>
      <c r="J166" s="6">
        <v>59.796398000000003</v>
      </c>
      <c r="K166" s="6">
        <v>104.818532534341</v>
      </c>
      <c r="L166" s="6">
        <v>31.861999999999998</v>
      </c>
      <c r="M166" s="6">
        <v>11.972</v>
      </c>
      <c r="N166" s="6">
        <v>49.579000000000001</v>
      </c>
      <c r="O166" s="6">
        <v>85.135999999999996</v>
      </c>
      <c r="P166" s="6">
        <v>197.27600000000001</v>
      </c>
      <c r="Q166" s="6">
        <v>177.172</v>
      </c>
    </row>
    <row r="167" spans="1:17" x14ac:dyDescent="0.35">
      <c r="A167" s="6" t="s">
        <v>88</v>
      </c>
      <c r="B167" s="6" t="s">
        <v>87</v>
      </c>
      <c r="C167" s="6">
        <v>5.9</v>
      </c>
      <c r="D167" s="6">
        <v>28.5</v>
      </c>
      <c r="E167" s="6">
        <v>28</v>
      </c>
      <c r="F167" s="6">
        <v>54.7</v>
      </c>
      <c r="G167" s="6">
        <v>35.4</v>
      </c>
      <c r="H167" s="6">
        <v>22.810547412324819</v>
      </c>
      <c r="I167" s="6">
        <v>37.223406878907213</v>
      </c>
      <c r="J167" s="6">
        <v>70.751347999999993</v>
      </c>
      <c r="K167" s="6">
        <v>57.830544328579897</v>
      </c>
      <c r="L167" s="6">
        <v>17.282</v>
      </c>
      <c r="M167" s="6">
        <v>13.058999999999999</v>
      </c>
      <c r="N167" s="6">
        <v>59.811</v>
      </c>
      <c r="O167" s="6">
        <v>62.548000000000002</v>
      </c>
      <c r="P167" s="6">
        <v>97.427000000000007</v>
      </c>
      <c r="Q167" s="6">
        <v>196.268</v>
      </c>
    </row>
    <row r="168" spans="1:17" x14ac:dyDescent="0.35">
      <c r="A168" s="6" t="s">
        <v>88</v>
      </c>
      <c r="B168" s="6" t="s">
        <v>88</v>
      </c>
      <c r="C168" s="6">
        <v>1.4</v>
      </c>
      <c r="D168" s="6">
        <v>7.8</v>
      </c>
      <c r="E168" s="6">
        <v>8.6999999999999993</v>
      </c>
      <c r="F168" s="6">
        <v>8.3000000000000007</v>
      </c>
      <c r="G168" s="6">
        <v>30.938573551424678</v>
      </c>
      <c r="H168" s="6">
        <v>11.730825930984331</v>
      </c>
      <c r="I168" s="6">
        <v>14.10364695088642</v>
      </c>
      <c r="J168" s="6">
        <v>52.200654000000007</v>
      </c>
      <c r="K168" s="6">
        <v>7.61708831637758</v>
      </c>
      <c r="L168" s="6">
        <v>8.0440000000000005</v>
      </c>
      <c r="M168" s="6">
        <v>1.958</v>
      </c>
      <c r="N168" s="6">
        <v>23.931000000000001</v>
      </c>
      <c r="O168" s="6">
        <v>70.614999999999995</v>
      </c>
      <c r="P168" s="6">
        <v>50.996000000000002</v>
      </c>
      <c r="Q168" s="6">
        <v>25.916</v>
      </c>
    </row>
    <row r="169" spans="1:17" x14ac:dyDescent="0.35">
      <c r="A169" s="6" t="s">
        <v>88</v>
      </c>
      <c r="B169" s="6" t="s">
        <v>92</v>
      </c>
      <c r="C169" s="6">
        <v>2.7</v>
      </c>
      <c r="D169" s="6">
        <v>26.2</v>
      </c>
      <c r="E169" s="6">
        <v>25.4</v>
      </c>
      <c r="F169" s="6">
        <v>8.6</v>
      </c>
      <c r="G169" s="6">
        <v>24</v>
      </c>
      <c r="H169" s="6">
        <v>16.011449231654939</v>
      </c>
      <c r="I169" s="6">
        <v>26.294670128592909</v>
      </c>
      <c r="J169" s="6">
        <v>29.531255000000009</v>
      </c>
      <c r="K169" s="6">
        <v>71.189289554036904</v>
      </c>
      <c r="L169" s="6">
        <v>22.672999999999998</v>
      </c>
      <c r="M169" s="6">
        <v>8.7040000000000006</v>
      </c>
      <c r="N169" s="6">
        <v>31.457999999999998</v>
      </c>
      <c r="O169" s="6">
        <v>37.648000000000003</v>
      </c>
      <c r="P169" s="6">
        <v>73.087000000000003</v>
      </c>
      <c r="Q169" s="6">
        <v>82.253</v>
      </c>
    </row>
    <row r="170" spans="1:17" x14ac:dyDescent="0.35">
      <c r="A170" s="6" t="s">
        <v>88</v>
      </c>
      <c r="B170" s="6" t="s">
        <v>93</v>
      </c>
      <c r="C170" s="6">
        <v>0.2</v>
      </c>
      <c r="D170" s="6">
        <v>7.8</v>
      </c>
      <c r="E170" s="6">
        <v>15.9</v>
      </c>
      <c r="F170" s="6">
        <v>2.8</v>
      </c>
      <c r="G170" s="6">
        <v>29.6</v>
      </c>
      <c r="H170" s="6">
        <v>6.8980005126572612</v>
      </c>
      <c r="I170" s="6">
        <v>6.186700339497035</v>
      </c>
      <c r="J170" s="6">
        <v>20.998096000000011</v>
      </c>
      <c r="K170" s="6">
        <v>6.3366436829945698</v>
      </c>
      <c r="L170" s="6">
        <v>8.0180000000000007</v>
      </c>
      <c r="M170" s="6">
        <v>3.2549999999999999</v>
      </c>
      <c r="N170" s="6">
        <v>5.6440000000000001</v>
      </c>
      <c r="O170" s="6">
        <v>2.3479999999999999</v>
      </c>
      <c r="P170" s="6">
        <v>49.435000000000002</v>
      </c>
      <c r="Q170" s="6">
        <v>33.064</v>
      </c>
    </row>
    <row r="171" spans="1:17" x14ac:dyDescent="0.35">
      <c r="A171" s="6" t="s">
        <v>88</v>
      </c>
      <c r="B171" s="6" t="s">
        <v>90</v>
      </c>
      <c r="C171" s="6">
        <v>0</v>
      </c>
      <c r="D171" s="6">
        <v>0.3</v>
      </c>
      <c r="E171" s="6">
        <v>2.1</v>
      </c>
      <c r="F171" s="6">
        <v>0</v>
      </c>
      <c r="G171" s="6">
        <v>0.5</v>
      </c>
      <c r="H171" s="6">
        <v>23.69790606461212</v>
      </c>
      <c r="I171" s="6">
        <v>2.1550494798581412</v>
      </c>
      <c r="J171" s="6">
        <v>2.020909000000001</v>
      </c>
      <c r="K171" s="6">
        <v>2.6226987243295601</v>
      </c>
      <c r="L171" s="6">
        <v>1.526</v>
      </c>
      <c r="M171" s="6">
        <v>0</v>
      </c>
      <c r="N171" s="6">
        <v>0.85499999999999998</v>
      </c>
      <c r="O171" s="6">
        <v>3.0670000000000002</v>
      </c>
      <c r="P171" s="6">
        <v>4.2389999999999999</v>
      </c>
      <c r="Q171" s="6">
        <v>4.048</v>
      </c>
    </row>
    <row r="172" spans="1:17" x14ac:dyDescent="0.35">
      <c r="A172" s="6" t="s">
        <v>88</v>
      </c>
      <c r="B172" s="6" t="s">
        <v>91</v>
      </c>
      <c r="C172" s="6">
        <v>0.2</v>
      </c>
      <c r="D172" s="6">
        <v>1</v>
      </c>
      <c r="E172" s="6">
        <v>0.4</v>
      </c>
      <c r="F172" s="6">
        <v>0.2</v>
      </c>
      <c r="G172" s="6">
        <v>2.5</v>
      </c>
      <c r="H172" s="6">
        <v>12.768134700951901</v>
      </c>
      <c r="I172" s="6">
        <v>2.1426021805562039</v>
      </c>
      <c r="J172" s="6">
        <v>1</v>
      </c>
      <c r="K172" s="6">
        <v>2.50609119601171</v>
      </c>
      <c r="L172" s="6">
        <v>0.84199999999999997</v>
      </c>
      <c r="M172" s="6">
        <v>0</v>
      </c>
      <c r="N172" s="6">
        <v>1.86</v>
      </c>
      <c r="O172" s="6">
        <v>0.91500000000000004</v>
      </c>
      <c r="P172" s="6">
        <v>3.1259999999999999</v>
      </c>
      <c r="Q172" s="6">
        <v>1.2</v>
      </c>
    </row>
    <row r="173" spans="1:17" x14ac:dyDescent="0.35">
      <c r="A173" s="6" t="s">
        <v>88</v>
      </c>
      <c r="B173" s="6" t="s">
        <v>211</v>
      </c>
      <c r="C173" s="6">
        <v>13.1</v>
      </c>
      <c r="D173" s="6">
        <v>19.7</v>
      </c>
      <c r="E173" s="6">
        <v>23.9</v>
      </c>
      <c r="F173" s="6">
        <v>44.4</v>
      </c>
      <c r="G173" s="6">
        <v>28</v>
      </c>
      <c r="H173" s="6">
        <v>43.216525363264012</v>
      </c>
      <c r="I173" s="6">
        <v>24.11792646570856</v>
      </c>
      <c r="J173" s="6">
        <v>30.699694000000012</v>
      </c>
      <c r="K173" s="6">
        <v>50.906635615995803</v>
      </c>
      <c r="L173" s="6">
        <v>18.936</v>
      </c>
      <c r="M173" s="6">
        <v>3.0920000000000001</v>
      </c>
      <c r="N173" s="6">
        <v>41.002000000000002</v>
      </c>
      <c r="O173" s="6">
        <v>43.000999999999998</v>
      </c>
      <c r="P173" s="6">
        <v>56.871000000000002</v>
      </c>
      <c r="Q173" s="6">
        <v>79.659000000000006</v>
      </c>
    </row>
    <row r="174" spans="1:17" x14ac:dyDescent="0.35">
      <c r="A174" s="6" t="s">
        <v>88</v>
      </c>
      <c r="B174" s="6" t="s">
        <v>94</v>
      </c>
      <c r="C174" s="6">
        <v>2.6</v>
      </c>
      <c r="D174" s="6">
        <v>0</v>
      </c>
      <c r="E174" s="6">
        <v>0</v>
      </c>
      <c r="F174" s="6">
        <v>0</v>
      </c>
      <c r="G174" s="6">
        <v>2.1</v>
      </c>
      <c r="H174" s="6">
        <v>0</v>
      </c>
      <c r="I174" s="6">
        <v>0.99667582408702282</v>
      </c>
      <c r="J174" s="6">
        <v>1</v>
      </c>
      <c r="K174" s="6">
        <v>1.29033862175603</v>
      </c>
      <c r="L174" s="6">
        <v>0</v>
      </c>
      <c r="M174" s="6">
        <v>0</v>
      </c>
      <c r="N174" s="6">
        <v>2.3029999999999999</v>
      </c>
      <c r="O174" s="6">
        <v>2.524</v>
      </c>
      <c r="P174" s="6">
        <v>0.80800000000000005</v>
      </c>
      <c r="Q174" s="6">
        <v>6.9939999999999998</v>
      </c>
    </row>
    <row r="175" spans="1:17" x14ac:dyDescent="0.35">
      <c r="A175" s="6" t="s">
        <v>88</v>
      </c>
      <c r="B175" s="6" t="s">
        <v>212</v>
      </c>
      <c r="C175" s="6">
        <v>0.6</v>
      </c>
      <c r="D175" s="6">
        <v>6.2</v>
      </c>
      <c r="E175" s="6">
        <v>6.3</v>
      </c>
      <c r="F175" s="6">
        <v>2.1</v>
      </c>
      <c r="G175" s="6">
        <v>9.6999999999999993</v>
      </c>
      <c r="H175" s="6">
        <v>1.554391860943938</v>
      </c>
      <c r="I175" s="6">
        <v>2.388264933595015</v>
      </c>
      <c r="J175" s="6">
        <v>4.0641260000000017</v>
      </c>
      <c r="K175" s="6">
        <v>1.51602720033848</v>
      </c>
      <c r="L175" s="6">
        <v>0.91700000000000004</v>
      </c>
      <c r="M175" s="6">
        <v>1.044</v>
      </c>
      <c r="N175" s="6">
        <v>1.2430000000000001</v>
      </c>
      <c r="O175" s="6">
        <v>5.1180000000000003</v>
      </c>
      <c r="P175" s="6">
        <v>10.961</v>
      </c>
      <c r="Q175" s="6">
        <v>11.752000000000001</v>
      </c>
    </row>
    <row r="176" spans="1:17" x14ac:dyDescent="0.35">
      <c r="A176" s="6" t="s">
        <v>92</v>
      </c>
      <c r="B176" s="6" t="s">
        <v>179</v>
      </c>
      <c r="C176" s="6">
        <v>10908.6</v>
      </c>
      <c r="D176" s="6">
        <v>10312.5</v>
      </c>
      <c r="E176" s="6">
        <v>10439.5</v>
      </c>
      <c r="F176" s="6">
        <v>14428.4</v>
      </c>
      <c r="G176" s="6">
        <v>14649.9</v>
      </c>
      <c r="H176" s="6">
        <v>15520.853809199991</v>
      </c>
      <c r="I176" s="6">
        <v>17438.126261000001</v>
      </c>
      <c r="J176" s="6">
        <v>19748.708517999981</v>
      </c>
      <c r="K176" s="6">
        <v>20383.607304204099</v>
      </c>
      <c r="L176" s="6">
        <v>10480.254999999999</v>
      </c>
      <c r="M176" s="6">
        <v>2974.357</v>
      </c>
      <c r="N176" s="6">
        <v>16829.468000000001</v>
      </c>
      <c r="O176" s="6">
        <v>21084.026000000002</v>
      </c>
      <c r="P176" s="6">
        <v>21506.181</v>
      </c>
      <c r="Q176" s="6">
        <v>24147.397530282</v>
      </c>
    </row>
    <row r="177" spans="1:17" x14ac:dyDescent="0.35">
      <c r="A177" s="6" t="s">
        <v>92</v>
      </c>
      <c r="B177" s="6" t="s">
        <v>81</v>
      </c>
      <c r="C177" s="6">
        <v>928</v>
      </c>
      <c r="D177" s="6">
        <v>1056</v>
      </c>
      <c r="E177" s="6">
        <v>1026.5</v>
      </c>
      <c r="F177" s="6">
        <v>1827.9</v>
      </c>
      <c r="G177" s="6">
        <v>1358.1</v>
      </c>
      <c r="H177" s="6">
        <v>2278.0591328209321</v>
      </c>
      <c r="I177" s="6">
        <v>1634.5961965507261</v>
      </c>
      <c r="J177" s="6">
        <v>1725.6484729999979</v>
      </c>
      <c r="K177" s="6">
        <v>2590.7331641041601</v>
      </c>
      <c r="L177" s="6">
        <v>654.97</v>
      </c>
      <c r="M177" s="6">
        <v>263.63299999999998</v>
      </c>
      <c r="N177" s="6">
        <v>1708.6479999999999</v>
      </c>
      <c r="O177" s="6">
        <v>2048.4780000000001</v>
      </c>
      <c r="P177" s="6">
        <v>1837.846</v>
      </c>
      <c r="Q177" s="6">
        <v>1995.9770000000001</v>
      </c>
    </row>
    <row r="178" spans="1:17" x14ac:dyDescent="0.35">
      <c r="A178" s="6" t="s">
        <v>92</v>
      </c>
      <c r="B178" s="6" t="s">
        <v>82</v>
      </c>
      <c r="C178" s="6">
        <v>970.1</v>
      </c>
      <c r="D178" s="6">
        <v>866.7</v>
      </c>
      <c r="E178" s="6">
        <v>707.5</v>
      </c>
      <c r="F178" s="6">
        <v>1470.9</v>
      </c>
      <c r="G178" s="6">
        <v>860.7</v>
      </c>
      <c r="H178" s="6">
        <v>1295.076453764822</v>
      </c>
      <c r="I178" s="6">
        <v>1112.4061740211721</v>
      </c>
      <c r="J178" s="6">
        <v>1141.4469519999991</v>
      </c>
      <c r="K178" s="6">
        <v>1586.46247451104</v>
      </c>
      <c r="L178" s="6">
        <v>710.18899999999996</v>
      </c>
      <c r="M178" s="6">
        <v>122.42700000000001</v>
      </c>
      <c r="N178" s="6">
        <v>1019.032</v>
      </c>
      <c r="O178" s="6">
        <v>1815.866</v>
      </c>
      <c r="P178" s="6">
        <v>1793.6030000000001</v>
      </c>
      <c r="Q178" s="6">
        <v>1676.1379999999999</v>
      </c>
    </row>
    <row r="179" spans="1:17" x14ac:dyDescent="0.35">
      <c r="A179" s="6" t="s">
        <v>92</v>
      </c>
      <c r="B179" s="6" t="s">
        <v>83</v>
      </c>
      <c r="C179" s="6">
        <v>520.1</v>
      </c>
      <c r="D179" s="6">
        <v>794.4</v>
      </c>
      <c r="E179" s="6">
        <v>654.1</v>
      </c>
      <c r="F179" s="6">
        <v>1257</v>
      </c>
      <c r="G179" s="6">
        <v>668.3</v>
      </c>
      <c r="H179" s="6">
        <v>723.93271260149311</v>
      </c>
      <c r="I179" s="6">
        <v>1132.228558095856</v>
      </c>
      <c r="J179" s="6">
        <v>1500.4286919999979</v>
      </c>
      <c r="K179" s="6">
        <v>1151.1157772224401</v>
      </c>
      <c r="L179" s="6">
        <v>581.06600000000003</v>
      </c>
      <c r="M179" s="6">
        <v>254.64400000000001</v>
      </c>
      <c r="N179" s="6">
        <v>795.43299999999999</v>
      </c>
      <c r="O179" s="6">
        <v>1030.759</v>
      </c>
      <c r="P179" s="6">
        <v>1365.9739999999999</v>
      </c>
      <c r="Q179" s="6">
        <v>1506.201</v>
      </c>
    </row>
    <row r="180" spans="1:17" x14ac:dyDescent="0.35">
      <c r="A180" s="6" t="s">
        <v>92</v>
      </c>
      <c r="B180" s="6" t="s">
        <v>84</v>
      </c>
      <c r="C180" s="6">
        <v>914.5</v>
      </c>
      <c r="D180" s="6">
        <v>1070.9000000000001</v>
      </c>
      <c r="E180" s="6">
        <v>820.8</v>
      </c>
      <c r="F180" s="6">
        <v>1567.6</v>
      </c>
      <c r="G180" s="6">
        <v>1204</v>
      </c>
      <c r="H180" s="6">
        <v>1488.028323339463</v>
      </c>
      <c r="I180" s="6">
        <v>1779.380690646542</v>
      </c>
      <c r="J180" s="6">
        <v>2052.0016679999981</v>
      </c>
      <c r="K180" s="6">
        <v>1682.47705491644</v>
      </c>
      <c r="L180" s="6">
        <v>1062.7429999999999</v>
      </c>
      <c r="M180" s="6">
        <v>401.226</v>
      </c>
      <c r="N180" s="6">
        <v>1639.098</v>
      </c>
      <c r="O180" s="6">
        <v>1693.22</v>
      </c>
      <c r="P180" s="6">
        <v>1698.7919999999999</v>
      </c>
      <c r="Q180" s="6">
        <v>2725.9409999999998</v>
      </c>
    </row>
    <row r="181" spans="1:17" x14ac:dyDescent="0.35">
      <c r="A181" s="6" t="s">
        <v>92</v>
      </c>
      <c r="B181" s="6" t="s">
        <v>85</v>
      </c>
      <c r="C181" s="6">
        <v>1253.7</v>
      </c>
      <c r="D181" s="6">
        <v>1036.0999999999999</v>
      </c>
      <c r="E181" s="6">
        <v>698.6</v>
      </c>
      <c r="F181" s="6">
        <v>1134.8</v>
      </c>
      <c r="G181" s="6">
        <v>2155.6</v>
      </c>
      <c r="H181" s="6">
        <v>1759.61197445013</v>
      </c>
      <c r="I181" s="6">
        <v>1236.320602932512</v>
      </c>
      <c r="J181" s="6">
        <v>1192.500737999999</v>
      </c>
      <c r="K181" s="6">
        <v>2086.4723110090399</v>
      </c>
      <c r="L181" s="6">
        <v>1132.492</v>
      </c>
      <c r="M181" s="6">
        <v>193.51400000000001</v>
      </c>
      <c r="N181" s="6">
        <v>1010.2619999999999</v>
      </c>
      <c r="O181" s="6">
        <v>1553.0029999999999</v>
      </c>
      <c r="P181" s="6">
        <v>1524.26</v>
      </c>
      <c r="Q181" s="6">
        <v>1980.107</v>
      </c>
    </row>
    <row r="182" spans="1:17" x14ac:dyDescent="0.35">
      <c r="A182" s="6" t="s">
        <v>92</v>
      </c>
      <c r="B182" s="6" t="s">
        <v>86</v>
      </c>
      <c r="C182" s="6">
        <v>1051.2</v>
      </c>
      <c r="D182" s="6">
        <v>1052.4000000000001</v>
      </c>
      <c r="E182" s="6">
        <v>1288.5</v>
      </c>
      <c r="F182" s="6">
        <v>1438.3</v>
      </c>
      <c r="G182" s="6">
        <v>2350.6999999999998</v>
      </c>
      <c r="H182" s="6">
        <v>1846.468239097683</v>
      </c>
      <c r="I182" s="6">
        <v>1831.99044968409</v>
      </c>
      <c r="J182" s="6">
        <v>2448.2686429999972</v>
      </c>
      <c r="K182" s="6">
        <v>2130.7332029905101</v>
      </c>
      <c r="L182" s="6">
        <v>1316.972</v>
      </c>
      <c r="M182" s="6">
        <v>160.34800000000001</v>
      </c>
      <c r="N182" s="6">
        <v>2322.125</v>
      </c>
      <c r="O182" s="6">
        <v>2381.5770000000002</v>
      </c>
      <c r="P182" s="6">
        <v>1636.9860000000001</v>
      </c>
      <c r="Q182" s="6">
        <v>2517.5635302820201</v>
      </c>
    </row>
    <row r="183" spans="1:17" x14ac:dyDescent="0.35">
      <c r="A183" s="6" t="s">
        <v>92</v>
      </c>
      <c r="B183" s="6" t="s">
        <v>89</v>
      </c>
      <c r="C183" s="6">
        <v>1418.9</v>
      </c>
      <c r="D183" s="6">
        <v>585.70000000000005</v>
      </c>
      <c r="E183" s="6">
        <v>321.3</v>
      </c>
      <c r="F183" s="6">
        <v>798.1</v>
      </c>
      <c r="G183" s="6">
        <v>457</v>
      </c>
      <c r="H183" s="6">
        <v>1252.5017040081091</v>
      </c>
      <c r="I183" s="6">
        <v>1152.31616373565</v>
      </c>
      <c r="J183" s="6">
        <v>1001.255500999999</v>
      </c>
      <c r="K183" s="6">
        <v>1507.5917723806999</v>
      </c>
      <c r="L183" s="6">
        <v>773.85500000000002</v>
      </c>
      <c r="M183" s="6">
        <v>234.73099999999999</v>
      </c>
      <c r="N183" s="6">
        <v>1058.05</v>
      </c>
      <c r="O183" s="6">
        <v>1491.415</v>
      </c>
      <c r="P183" s="6">
        <v>1199.1659999999999</v>
      </c>
      <c r="Q183" s="6">
        <v>2362.6999999999998</v>
      </c>
    </row>
    <row r="184" spans="1:17" x14ac:dyDescent="0.35">
      <c r="A184" s="6" t="s">
        <v>92</v>
      </c>
      <c r="B184" s="6" t="s">
        <v>87</v>
      </c>
      <c r="C184" s="6">
        <v>1401.7</v>
      </c>
      <c r="D184" s="6">
        <v>1739.1</v>
      </c>
      <c r="E184" s="6">
        <v>1980.2</v>
      </c>
      <c r="F184" s="6">
        <v>2364.8000000000002</v>
      </c>
      <c r="G184" s="6">
        <v>2790</v>
      </c>
      <c r="H184" s="6">
        <v>2431.8678189988441</v>
      </c>
      <c r="I184" s="6">
        <v>2537.255179553827</v>
      </c>
      <c r="J184" s="6">
        <v>2603.6064959999972</v>
      </c>
      <c r="K184" s="6">
        <v>2899.7402128069298</v>
      </c>
      <c r="L184" s="6">
        <v>1332.508</v>
      </c>
      <c r="M184" s="6">
        <v>298.92500000000001</v>
      </c>
      <c r="N184" s="6">
        <v>2628.6579999999999</v>
      </c>
      <c r="O184" s="6">
        <v>2119.873</v>
      </c>
      <c r="P184" s="6">
        <v>3336.1979999999999</v>
      </c>
      <c r="Q184" s="6">
        <v>3116.5630000000001</v>
      </c>
    </row>
    <row r="185" spans="1:17" x14ac:dyDescent="0.35">
      <c r="A185" s="6" t="s">
        <v>92</v>
      </c>
      <c r="B185" s="6" t="s">
        <v>88</v>
      </c>
      <c r="C185" s="6">
        <v>302.8</v>
      </c>
      <c r="D185" s="6">
        <v>135.9</v>
      </c>
      <c r="E185" s="6">
        <v>127.9</v>
      </c>
      <c r="F185" s="6">
        <v>15.5</v>
      </c>
      <c r="G185" s="6">
        <v>249.6</v>
      </c>
      <c r="H185" s="6">
        <v>180.68001316750869</v>
      </c>
      <c r="I185" s="6">
        <v>115.8377149383509</v>
      </c>
      <c r="J185" s="6">
        <v>161.38885999999991</v>
      </c>
      <c r="K185" s="6">
        <v>193.26800060332101</v>
      </c>
      <c r="L185" s="6">
        <v>33.597000000000001</v>
      </c>
      <c r="M185" s="6">
        <v>1.9159999999999999</v>
      </c>
      <c r="N185" s="6">
        <v>117.07</v>
      </c>
      <c r="O185" s="6">
        <v>156.01300000000001</v>
      </c>
      <c r="P185" s="6">
        <v>461.17200000000003</v>
      </c>
      <c r="Q185" s="6">
        <v>480.28100000000001</v>
      </c>
    </row>
    <row r="186" spans="1:17" x14ac:dyDescent="0.35">
      <c r="A186" s="6" t="s">
        <v>92</v>
      </c>
      <c r="B186" s="6" t="s">
        <v>92</v>
      </c>
      <c r="C186" s="6">
        <v>1374</v>
      </c>
      <c r="D186" s="6">
        <v>1354</v>
      </c>
      <c r="E186" s="6">
        <v>1926.6</v>
      </c>
      <c r="F186" s="6">
        <v>1689.4</v>
      </c>
      <c r="G186" s="6">
        <v>1907.393254306272</v>
      </c>
      <c r="H186" s="6">
        <v>970.66450625230368</v>
      </c>
      <c r="I186" s="6">
        <v>2182.6288470039808</v>
      </c>
      <c r="J186" s="6">
        <v>2715.8934679999952</v>
      </c>
      <c r="K186" s="6">
        <v>3203.86748778431</v>
      </c>
      <c r="L186" s="6">
        <v>1419.1759999999999</v>
      </c>
      <c r="M186" s="6">
        <v>524.46500000000003</v>
      </c>
      <c r="N186" s="6">
        <v>2505.4450000000002</v>
      </c>
      <c r="O186" s="6">
        <v>3206.0189999999998</v>
      </c>
      <c r="P186" s="6">
        <v>2953.259</v>
      </c>
      <c r="Q186" s="6">
        <v>2428.953</v>
      </c>
    </row>
    <row r="187" spans="1:17" x14ac:dyDescent="0.35">
      <c r="A187" s="6" t="s">
        <v>92</v>
      </c>
      <c r="B187" s="6" t="s">
        <v>93</v>
      </c>
      <c r="C187" s="6">
        <v>508.4</v>
      </c>
      <c r="D187" s="6">
        <v>377.3</v>
      </c>
      <c r="E187" s="6">
        <v>407.9</v>
      </c>
      <c r="F187" s="6">
        <v>454.6</v>
      </c>
      <c r="G187" s="6">
        <v>352.3</v>
      </c>
      <c r="H187" s="6">
        <v>816.10661344884215</v>
      </c>
      <c r="I187" s="6">
        <v>844.65333875210342</v>
      </c>
      <c r="J187" s="6">
        <v>875.54856099999927</v>
      </c>
      <c r="K187" s="6">
        <v>648.34364274394898</v>
      </c>
      <c r="L187" s="6">
        <v>475.14299999999997</v>
      </c>
      <c r="M187" s="6">
        <v>223.928</v>
      </c>
      <c r="N187" s="6">
        <v>883.18</v>
      </c>
      <c r="O187" s="6">
        <v>1203.2329999999999</v>
      </c>
      <c r="P187" s="6">
        <v>973.553</v>
      </c>
      <c r="Q187" s="6">
        <v>762.67700000000002</v>
      </c>
    </row>
    <row r="188" spans="1:17" x14ac:dyDescent="0.35">
      <c r="A188" s="6" t="s">
        <v>92</v>
      </c>
      <c r="B188" s="6" t="s">
        <v>90</v>
      </c>
      <c r="C188" s="6">
        <v>91.3</v>
      </c>
      <c r="D188" s="6">
        <v>64.900000000000006</v>
      </c>
      <c r="E188" s="6">
        <v>161.5</v>
      </c>
      <c r="F188" s="6">
        <v>213.7</v>
      </c>
      <c r="G188" s="6">
        <v>109.7</v>
      </c>
      <c r="H188" s="6">
        <v>158.5</v>
      </c>
      <c r="I188" s="6">
        <v>738.82536185035951</v>
      </c>
      <c r="J188" s="6">
        <v>850.46639199999947</v>
      </c>
      <c r="K188" s="6">
        <v>236.00086162652099</v>
      </c>
      <c r="L188" s="6">
        <v>135.90700000000001</v>
      </c>
      <c r="M188" s="6">
        <v>41.345999999999997</v>
      </c>
      <c r="N188" s="6">
        <v>120.85899999999999</v>
      </c>
      <c r="O188" s="6">
        <v>203.34399999999999</v>
      </c>
      <c r="P188" s="6">
        <v>770.899</v>
      </c>
      <c r="Q188" s="6">
        <v>531.66499999999996</v>
      </c>
    </row>
    <row r="189" spans="1:17" x14ac:dyDescent="0.35">
      <c r="A189" s="6" t="s">
        <v>92</v>
      </c>
      <c r="B189" s="6" t="s">
        <v>91</v>
      </c>
      <c r="C189" s="6">
        <v>72</v>
      </c>
      <c r="D189" s="6">
        <v>39.200000000000003</v>
      </c>
      <c r="E189" s="6">
        <v>74.099999999999994</v>
      </c>
      <c r="F189" s="6">
        <v>77.599999999999994</v>
      </c>
      <c r="G189" s="6">
        <v>48</v>
      </c>
      <c r="H189" s="6">
        <v>184.68901112769831</v>
      </c>
      <c r="I189" s="6">
        <v>770.60842824328586</v>
      </c>
      <c r="J189" s="6">
        <v>918.96424599999921</v>
      </c>
      <c r="K189" s="6">
        <v>157.58930152495199</v>
      </c>
      <c r="L189" s="6">
        <v>105.15900000000001</v>
      </c>
      <c r="M189" s="6">
        <v>50.058999999999997</v>
      </c>
      <c r="N189" s="6">
        <v>100.81100000000001</v>
      </c>
      <c r="O189" s="6">
        <v>169.77</v>
      </c>
      <c r="P189" s="6">
        <v>588.13800000000003</v>
      </c>
      <c r="Q189" s="6">
        <v>125.515</v>
      </c>
    </row>
    <row r="190" spans="1:17" x14ac:dyDescent="0.35">
      <c r="A190" s="6" t="s">
        <v>92</v>
      </c>
      <c r="B190" s="6" t="s">
        <v>211</v>
      </c>
      <c r="C190" s="6">
        <v>84.4</v>
      </c>
      <c r="D190" s="6">
        <v>110</v>
      </c>
      <c r="E190" s="6">
        <v>228.3</v>
      </c>
      <c r="F190" s="6">
        <v>112.9</v>
      </c>
      <c r="G190" s="6">
        <v>127.2</v>
      </c>
      <c r="H190" s="6">
        <v>90.228959764875867</v>
      </c>
      <c r="I190" s="6">
        <v>135.70267726397211</v>
      </c>
      <c r="J190" s="6">
        <v>178.11938099999989</v>
      </c>
      <c r="K190" s="6">
        <v>287.09331181792402</v>
      </c>
      <c r="L190" s="6">
        <v>739.971</v>
      </c>
      <c r="M190" s="6">
        <v>191.64699999999999</v>
      </c>
      <c r="N190" s="6">
        <v>879.11500000000001</v>
      </c>
      <c r="O190" s="6">
        <v>1854.55</v>
      </c>
      <c r="P190" s="6">
        <v>1291.171</v>
      </c>
      <c r="Q190" s="6">
        <v>1819.35</v>
      </c>
    </row>
    <row r="191" spans="1:17" x14ac:dyDescent="0.35">
      <c r="A191" s="6" t="s">
        <v>92</v>
      </c>
      <c r="B191" s="6" t="s">
        <v>94</v>
      </c>
      <c r="C191" s="6">
        <v>8.4</v>
      </c>
      <c r="D191" s="6">
        <v>16.899999999999999</v>
      </c>
      <c r="E191" s="6">
        <v>0</v>
      </c>
      <c r="F191" s="6">
        <v>0</v>
      </c>
      <c r="G191" s="6">
        <v>4.3</v>
      </c>
      <c r="H191" s="6">
        <v>44.5</v>
      </c>
      <c r="I191" s="6">
        <v>22.04363913863056</v>
      </c>
      <c r="J191" s="6">
        <v>40.263477999999957</v>
      </c>
      <c r="K191" s="6">
        <v>20.0888342173143</v>
      </c>
      <c r="L191" s="6">
        <v>3.2589999999999999</v>
      </c>
      <c r="M191" s="6">
        <v>0</v>
      </c>
      <c r="N191" s="6">
        <v>4.4909999999999997</v>
      </c>
      <c r="O191" s="6">
        <v>3.7770000000000001</v>
      </c>
      <c r="P191" s="6">
        <v>9.7189999999999994</v>
      </c>
      <c r="Q191" s="6">
        <v>46.372</v>
      </c>
    </row>
    <row r="192" spans="1:17" x14ac:dyDescent="0.35">
      <c r="A192" s="6" t="s">
        <v>92</v>
      </c>
      <c r="B192" s="6" t="s">
        <v>212</v>
      </c>
      <c r="C192" s="6">
        <v>9</v>
      </c>
      <c r="D192" s="6">
        <v>13</v>
      </c>
      <c r="E192" s="6">
        <v>15.7</v>
      </c>
      <c r="F192" s="6">
        <v>5.0999999999999996</v>
      </c>
      <c r="G192" s="6">
        <v>7.2</v>
      </c>
      <c r="H192" s="6">
        <v>0</v>
      </c>
      <c r="I192" s="6">
        <v>211.33223858894129</v>
      </c>
      <c r="J192" s="6">
        <v>342.90696899999972</v>
      </c>
      <c r="K192" s="6">
        <v>2.0298939445137898</v>
      </c>
      <c r="L192" s="6">
        <v>3.2480000000000002</v>
      </c>
      <c r="M192" s="6">
        <v>11.548</v>
      </c>
      <c r="N192" s="6">
        <v>37.191000000000003</v>
      </c>
      <c r="O192" s="6">
        <v>153.12899999999999</v>
      </c>
      <c r="P192" s="6">
        <v>65.444999999999993</v>
      </c>
      <c r="Q192" s="6">
        <v>71.394000000000005</v>
      </c>
    </row>
    <row r="193" spans="1:17" x14ac:dyDescent="0.35">
      <c r="A193" s="6" t="s">
        <v>93</v>
      </c>
      <c r="B193" s="6" t="s">
        <v>179</v>
      </c>
      <c r="C193" s="6">
        <v>2134.6</v>
      </c>
      <c r="D193" s="6">
        <v>2482.5</v>
      </c>
      <c r="E193" s="6">
        <v>2914.7</v>
      </c>
      <c r="F193" s="6">
        <v>3448.8</v>
      </c>
      <c r="G193" s="6">
        <v>3355.7</v>
      </c>
      <c r="H193" s="6">
        <v>4191.2284885999852</v>
      </c>
      <c r="I193" s="6">
        <v>4340.0252079999991</v>
      </c>
      <c r="J193" s="6">
        <v>4479.103284999992</v>
      </c>
      <c r="K193" s="6">
        <v>4527.9755144999999</v>
      </c>
      <c r="L193" s="6">
        <v>2374.8580000000002</v>
      </c>
      <c r="M193" s="6">
        <v>801.44200000000001</v>
      </c>
      <c r="N193" s="6">
        <v>1472.354</v>
      </c>
      <c r="O193" s="6">
        <v>2824.7139999999999</v>
      </c>
      <c r="P193" s="6">
        <v>1574.3140000000001</v>
      </c>
      <c r="Q193" s="6">
        <v>3105.5909999999999</v>
      </c>
    </row>
    <row r="194" spans="1:17" x14ac:dyDescent="0.35">
      <c r="A194" s="6" t="s">
        <v>93</v>
      </c>
      <c r="B194" s="6" t="s">
        <v>81</v>
      </c>
      <c r="C194" s="6">
        <v>73</v>
      </c>
      <c r="D194" s="6">
        <v>63.3</v>
      </c>
      <c r="E194" s="6">
        <v>75.7</v>
      </c>
      <c r="F194" s="6">
        <v>66.400000000000006</v>
      </c>
      <c r="G194" s="6">
        <v>70</v>
      </c>
      <c r="H194" s="6">
        <v>126.42908035133181</v>
      </c>
      <c r="I194" s="6">
        <v>120.9686771584993</v>
      </c>
      <c r="J194" s="6">
        <v>70.656816234756121</v>
      </c>
      <c r="K194" s="6">
        <v>121.397448342613</v>
      </c>
      <c r="L194" s="6">
        <v>61.752000000000002</v>
      </c>
      <c r="M194" s="6">
        <v>14.289</v>
      </c>
      <c r="N194" s="6">
        <v>32.506999999999998</v>
      </c>
      <c r="O194" s="6">
        <v>42.97</v>
      </c>
      <c r="P194" s="6">
        <v>12.138</v>
      </c>
      <c r="Q194" s="6">
        <v>106.70399999999999</v>
      </c>
    </row>
    <row r="195" spans="1:17" x14ac:dyDescent="0.35">
      <c r="A195" s="6" t="s">
        <v>93</v>
      </c>
      <c r="B195" s="6" t="s">
        <v>82</v>
      </c>
      <c r="C195" s="6">
        <v>87.6</v>
      </c>
      <c r="D195" s="6">
        <v>45.3</v>
      </c>
      <c r="E195" s="6">
        <v>62.5</v>
      </c>
      <c r="F195" s="6">
        <v>140</v>
      </c>
      <c r="G195" s="6">
        <v>33</v>
      </c>
      <c r="H195" s="6">
        <v>104.980260054152</v>
      </c>
      <c r="I195" s="6">
        <v>70.579121185393504</v>
      </c>
      <c r="J195" s="6">
        <v>35.79421117413829</v>
      </c>
      <c r="K195" s="6">
        <v>107.819955832562</v>
      </c>
      <c r="L195" s="6">
        <v>29.937000000000001</v>
      </c>
      <c r="M195" s="6">
        <v>22.895</v>
      </c>
      <c r="N195" s="6">
        <v>15.281000000000001</v>
      </c>
      <c r="O195" s="6">
        <v>29.478999999999999</v>
      </c>
      <c r="P195" s="6">
        <v>7.9249999999999998</v>
      </c>
      <c r="Q195" s="6">
        <v>83.692999999999998</v>
      </c>
    </row>
    <row r="196" spans="1:17" x14ac:dyDescent="0.35">
      <c r="A196" s="6" t="s">
        <v>93</v>
      </c>
      <c r="B196" s="6" t="s">
        <v>83</v>
      </c>
      <c r="C196" s="6">
        <v>268.60000000000002</v>
      </c>
      <c r="D196" s="6">
        <v>391.7</v>
      </c>
      <c r="E196" s="6">
        <v>451.5</v>
      </c>
      <c r="F196" s="6">
        <v>602.79999999999995</v>
      </c>
      <c r="G196" s="6">
        <v>488</v>
      </c>
      <c r="H196" s="6">
        <v>768.1439809984397</v>
      </c>
      <c r="I196" s="6">
        <v>764.21562716611891</v>
      </c>
      <c r="J196" s="6">
        <v>623.75689402543833</v>
      </c>
      <c r="K196" s="6">
        <v>1016.55859103811</v>
      </c>
      <c r="L196" s="6">
        <v>421.89299999999997</v>
      </c>
      <c r="M196" s="6">
        <v>33.674999999999997</v>
      </c>
      <c r="N196" s="6">
        <v>231.30699999999999</v>
      </c>
      <c r="O196" s="6">
        <v>424.00900000000001</v>
      </c>
      <c r="P196" s="6">
        <v>346.67500000000001</v>
      </c>
      <c r="Q196" s="6">
        <v>520.81700000000001</v>
      </c>
    </row>
    <row r="197" spans="1:17" x14ac:dyDescent="0.35">
      <c r="A197" s="6" t="s">
        <v>93</v>
      </c>
      <c r="B197" s="6" t="s">
        <v>84</v>
      </c>
      <c r="C197" s="6">
        <v>42.2</v>
      </c>
      <c r="D197" s="6">
        <v>53.6</v>
      </c>
      <c r="E197" s="6">
        <v>48.2</v>
      </c>
      <c r="F197" s="6">
        <v>50.6</v>
      </c>
      <c r="G197" s="6">
        <v>19.600000000000001</v>
      </c>
      <c r="H197" s="6">
        <v>56.014812712813473</v>
      </c>
      <c r="I197" s="6">
        <v>77.320015113874817</v>
      </c>
      <c r="J197" s="6">
        <v>261.38272531998251</v>
      </c>
      <c r="K197" s="6">
        <v>61.013916307079199</v>
      </c>
      <c r="L197" s="6">
        <v>22.741</v>
      </c>
      <c r="M197" s="6">
        <v>1.5960000000000001</v>
      </c>
      <c r="N197" s="6">
        <v>19.126000000000001</v>
      </c>
      <c r="O197" s="6">
        <v>38.704000000000001</v>
      </c>
      <c r="P197" s="6">
        <v>10.535</v>
      </c>
      <c r="Q197" s="6">
        <v>115.592</v>
      </c>
    </row>
    <row r="198" spans="1:17" x14ac:dyDescent="0.35">
      <c r="A198" s="6" t="s">
        <v>93</v>
      </c>
      <c r="B198" s="6" t="s">
        <v>85</v>
      </c>
      <c r="C198" s="6">
        <v>44.7</v>
      </c>
      <c r="D198" s="6">
        <v>12.1</v>
      </c>
      <c r="E198" s="6">
        <v>39.299999999999997</v>
      </c>
      <c r="F198" s="6">
        <v>53.4</v>
      </c>
      <c r="G198" s="6">
        <v>29.8</v>
      </c>
      <c r="H198" s="6">
        <v>73.84696942537758</v>
      </c>
      <c r="I198" s="6">
        <v>59.772214262175957</v>
      </c>
      <c r="J198" s="6">
        <v>88.905049048691978</v>
      </c>
      <c r="K198" s="6">
        <v>88.411711129102997</v>
      </c>
      <c r="L198" s="6">
        <v>16.963999999999999</v>
      </c>
      <c r="M198" s="6">
        <v>20.513000000000002</v>
      </c>
      <c r="N198" s="6">
        <v>19.361000000000001</v>
      </c>
      <c r="O198" s="6">
        <v>6.226</v>
      </c>
      <c r="P198" s="6">
        <v>19.286999999999999</v>
      </c>
      <c r="Q198" s="6">
        <v>105.86</v>
      </c>
    </row>
    <row r="199" spans="1:17" x14ac:dyDescent="0.35">
      <c r="A199" s="6" t="s">
        <v>93</v>
      </c>
      <c r="B199" s="6" t="s">
        <v>86</v>
      </c>
      <c r="C199" s="6">
        <v>184.3</v>
      </c>
      <c r="D199" s="6">
        <v>286</v>
      </c>
      <c r="E199" s="6">
        <v>324.89999999999998</v>
      </c>
      <c r="F199" s="6">
        <v>565</v>
      </c>
      <c r="G199" s="6">
        <v>451.7</v>
      </c>
      <c r="H199" s="6">
        <v>618.0009764874651</v>
      </c>
      <c r="I199" s="6">
        <v>433.34416612933671</v>
      </c>
      <c r="J199" s="6">
        <v>312.874004436593</v>
      </c>
      <c r="K199" s="6">
        <v>500.40362805136903</v>
      </c>
      <c r="L199" s="6">
        <v>390.59699999999998</v>
      </c>
      <c r="M199" s="6">
        <v>41.628999999999998</v>
      </c>
      <c r="N199" s="6">
        <v>52.814</v>
      </c>
      <c r="O199" s="6">
        <v>183.59700000000001</v>
      </c>
      <c r="P199" s="6">
        <v>293.87200000000001</v>
      </c>
      <c r="Q199" s="6">
        <v>373.96</v>
      </c>
    </row>
    <row r="200" spans="1:17" x14ac:dyDescent="0.35">
      <c r="A200" s="6" t="s">
        <v>93</v>
      </c>
      <c r="B200" s="6" t="s">
        <v>89</v>
      </c>
      <c r="C200" s="6">
        <v>24</v>
      </c>
      <c r="D200" s="6">
        <v>31.9</v>
      </c>
      <c r="E200" s="6">
        <v>12.8</v>
      </c>
      <c r="F200" s="6">
        <v>36.700000000000003</v>
      </c>
      <c r="G200" s="6">
        <v>13.1</v>
      </c>
      <c r="H200" s="6">
        <v>59.765485589669957</v>
      </c>
      <c r="I200" s="6">
        <v>10.326069581492179</v>
      </c>
      <c r="J200" s="6">
        <v>30.103417409495769</v>
      </c>
      <c r="K200" s="6">
        <v>26.814535104619999</v>
      </c>
      <c r="L200" s="6">
        <v>28.216000000000001</v>
      </c>
      <c r="M200" s="6">
        <v>12.44</v>
      </c>
      <c r="N200" s="6">
        <v>24.039000000000001</v>
      </c>
      <c r="O200" s="6">
        <v>29.472999999999999</v>
      </c>
      <c r="P200" s="6">
        <v>34.814999999999998</v>
      </c>
      <c r="Q200" s="6">
        <v>126.461</v>
      </c>
    </row>
    <row r="201" spans="1:17" x14ac:dyDescent="0.35">
      <c r="A201" s="6" t="s">
        <v>93</v>
      </c>
      <c r="B201" s="6" t="s">
        <v>87</v>
      </c>
      <c r="C201" s="6">
        <v>26.1</v>
      </c>
      <c r="D201" s="6">
        <v>31.6</v>
      </c>
      <c r="E201" s="6">
        <v>55.5</v>
      </c>
      <c r="F201" s="6">
        <v>77.8</v>
      </c>
      <c r="G201" s="6">
        <v>50.8</v>
      </c>
      <c r="H201" s="6">
        <v>69.729632032620714</v>
      </c>
      <c r="I201" s="6">
        <v>95.036537829674188</v>
      </c>
      <c r="J201" s="6">
        <v>90.121166357187164</v>
      </c>
      <c r="K201" s="6">
        <v>75.663388529837405</v>
      </c>
      <c r="L201" s="6">
        <v>26.327000000000002</v>
      </c>
      <c r="M201" s="6">
        <v>23.495000000000001</v>
      </c>
      <c r="N201" s="6">
        <v>19.196000000000002</v>
      </c>
      <c r="O201" s="6">
        <v>22.405000000000001</v>
      </c>
      <c r="P201" s="6">
        <v>19.12</v>
      </c>
      <c r="Q201" s="6">
        <v>151.70500000000001</v>
      </c>
    </row>
    <row r="202" spans="1:17" x14ac:dyDescent="0.35">
      <c r="A202" s="6" t="s">
        <v>93</v>
      </c>
      <c r="B202" s="6" t="s">
        <v>88</v>
      </c>
      <c r="C202" s="6">
        <v>37.4</v>
      </c>
      <c r="D202" s="6">
        <v>11.8</v>
      </c>
      <c r="E202" s="6">
        <v>19.899999999999999</v>
      </c>
      <c r="F202" s="6">
        <v>15</v>
      </c>
      <c r="G202" s="6">
        <v>13.9</v>
      </c>
      <c r="H202" s="6">
        <v>39.073446097855488</v>
      </c>
      <c r="I202" s="6">
        <v>31.87604891026756</v>
      </c>
      <c r="J202" s="6">
        <v>40.846355662520473</v>
      </c>
      <c r="K202" s="6">
        <v>4.2317575178925102</v>
      </c>
      <c r="L202" s="6">
        <v>6.6059999999999999</v>
      </c>
      <c r="M202" s="6">
        <v>2.5819999999999999</v>
      </c>
      <c r="N202" s="6">
        <v>8.407</v>
      </c>
      <c r="O202" s="6">
        <v>11.417</v>
      </c>
      <c r="P202" s="6">
        <v>5.452</v>
      </c>
      <c r="Q202" s="6">
        <v>5.6749999999999998</v>
      </c>
    </row>
    <row r="203" spans="1:17" x14ac:dyDescent="0.35">
      <c r="A203" s="6" t="s">
        <v>93</v>
      </c>
      <c r="B203" s="6" t="s">
        <v>92</v>
      </c>
      <c r="C203" s="6">
        <v>87.1</v>
      </c>
      <c r="D203" s="6">
        <v>120.1</v>
      </c>
      <c r="E203" s="6">
        <v>117</v>
      </c>
      <c r="F203" s="6">
        <v>124.2</v>
      </c>
      <c r="G203" s="6">
        <v>205</v>
      </c>
      <c r="H203" s="6">
        <v>210.83103114775261</v>
      </c>
      <c r="I203" s="6">
        <v>283.01552825528393</v>
      </c>
      <c r="J203" s="6">
        <v>292.43990636377231</v>
      </c>
      <c r="K203" s="6">
        <v>296.19269328636398</v>
      </c>
      <c r="L203" s="6">
        <v>116.029</v>
      </c>
      <c r="M203" s="6">
        <v>65.694000000000003</v>
      </c>
      <c r="N203" s="6">
        <v>20.529</v>
      </c>
      <c r="O203" s="6">
        <v>119.712</v>
      </c>
      <c r="P203" s="6">
        <v>224.869</v>
      </c>
      <c r="Q203" s="6">
        <v>248.322</v>
      </c>
    </row>
    <row r="204" spans="1:17" x14ac:dyDescent="0.35">
      <c r="A204" s="6" t="s">
        <v>93</v>
      </c>
      <c r="B204" s="6" t="s">
        <v>93</v>
      </c>
      <c r="C204" s="6">
        <v>969.8</v>
      </c>
      <c r="D204" s="6">
        <v>1149.4000000000001</v>
      </c>
      <c r="E204" s="6">
        <v>1502.6</v>
      </c>
      <c r="F204" s="6">
        <v>1391.2</v>
      </c>
      <c r="G204" s="6">
        <v>1764.0183101509799</v>
      </c>
      <c r="H204" s="6">
        <v>1675.238786734735</v>
      </c>
      <c r="I204" s="6">
        <v>1979.485095286291</v>
      </c>
      <c r="J204" s="6">
        <v>2158.527067962787</v>
      </c>
      <c r="K204" s="6">
        <v>1781.3903361236601</v>
      </c>
      <c r="L204" s="6">
        <v>1102.307</v>
      </c>
      <c r="M204" s="6">
        <v>494.25099999999998</v>
      </c>
      <c r="N204" s="6">
        <v>805.29600000000005</v>
      </c>
      <c r="O204" s="6">
        <v>1187.3409999999999</v>
      </c>
      <c r="P204" s="6">
        <v>487.72399999999999</v>
      </c>
      <c r="Q204" s="6">
        <v>687.42100000000005</v>
      </c>
    </row>
    <row r="205" spans="1:17" x14ac:dyDescent="0.35">
      <c r="A205" s="6" t="s">
        <v>93</v>
      </c>
      <c r="B205" s="6" t="s">
        <v>90</v>
      </c>
      <c r="C205" s="6">
        <v>1.6</v>
      </c>
      <c r="D205" s="6">
        <v>3</v>
      </c>
      <c r="E205" s="6">
        <v>2.2000000000000002</v>
      </c>
      <c r="F205" s="6">
        <v>1.6</v>
      </c>
      <c r="G205" s="6">
        <v>0.3</v>
      </c>
      <c r="H205" s="6">
        <v>6.7633014339523783</v>
      </c>
      <c r="I205" s="6">
        <v>11.11702460029635</v>
      </c>
      <c r="J205" s="6">
        <v>20.065674234763581</v>
      </c>
      <c r="K205" s="6">
        <v>4.9201753427295296</v>
      </c>
      <c r="L205" s="6">
        <v>5.9130000000000003</v>
      </c>
      <c r="M205" s="6">
        <v>7.9640000000000004</v>
      </c>
      <c r="N205" s="6">
        <v>15.763999999999999</v>
      </c>
      <c r="O205" s="6">
        <v>47.122999999999998</v>
      </c>
      <c r="P205" s="6">
        <v>26.824999999999999</v>
      </c>
      <c r="Q205" s="6">
        <v>6.117</v>
      </c>
    </row>
    <row r="206" spans="1:17" x14ac:dyDescent="0.35">
      <c r="A206" s="6" t="s">
        <v>93</v>
      </c>
      <c r="B206" s="6" t="s">
        <v>91</v>
      </c>
      <c r="C206" s="6">
        <v>6.2</v>
      </c>
      <c r="D206" s="6">
        <v>6.5</v>
      </c>
      <c r="E206" s="6">
        <v>2.7</v>
      </c>
      <c r="F206" s="6">
        <v>5.3</v>
      </c>
      <c r="G206" s="6">
        <v>2.5</v>
      </c>
      <c r="H206" s="6">
        <v>2.0063756271179489</v>
      </c>
      <c r="I206" s="6">
        <v>14.08886139680334</v>
      </c>
      <c r="J206" s="6">
        <v>18.747929302687879</v>
      </c>
      <c r="K206" s="6">
        <v>4.4571000163549899</v>
      </c>
      <c r="L206" s="6">
        <v>5.2169999999999996</v>
      </c>
      <c r="M206" s="6">
        <v>9.3109999999999999</v>
      </c>
      <c r="N206" s="6">
        <v>8.5619999999999994</v>
      </c>
      <c r="O206" s="6">
        <v>24.213000000000001</v>
      </c>
      <c r="P206" s="6">
        <v>2.7469999999999999</v>
      </c>
      <c r="Q206" s="6">
        <v>64.251000000000005</v>
      </c>
    </row>
    <row r="207" spans="1:17" x14ac:dyDescent="0.35">
      <c r="A207" s="6" t="s">
        <v>93</v>
      </c>
      <c r="B207" s="6" t="s">
        <v>211</v>
      </c>
      <c r="C207" s="6">
        <v>268.2</v>
      </c>
      <c r="D207" s="6">
        <v>245.1</v>
      </c>
      <c r="E207" s="6">
        <v>190.3</v>
      </c>
      <c r="F207" s="6">
        <v>292.39999999999998</v>
      </c>
      <c r="G207" s="6">
        <v>190</v>
      </c>
      <c r="H207" s="6">
        <v>324.4167032367227</v>
      </c>
      <c r="I207" s="6">
        <v>330.00850348292261</v>
      </c>
      <c r="J207" s="6">
        <v>307.09556581346078</v>
      </c>
      <c r="K207" s="6">
        <v>357.35891864350202</v>
      </c>
      <c r="L207" s="6">
        <v>125.649</v>
      </c>
      <c r="M207" s="6">
        <v>38.256999999999998</v>
      </c>
      <c r="N207" s="6">
        <v>188.33</v>
      </c>
      <c r="O207" s="6">
        <v>618.74099999999999</v>
      </c>
      <c r="P207" s="6">
        <v>74.284000000000006</v>
      </c>
      <c r="Q207" s="6">
        <v>419.67500000000001</v>
      </c>
    </row>
    <row r="208" spans="1:17" x14ac:dyDescent="0.35">
      <c r="A208" s="6" t="s">
        <v>93</v>
      </c>
      <c r="B208" s="6" t="s">
        <v>94</v>
      </c>
      <c r="C208" s="6">
        <v>2.5</v>
      </c>
      <c r="D208" s="6">
        <v>0</v>
      </c>
      <c r="E208" s="6">
        <v>1.1000000000000001</v>
      </c>
      <c r="F208" s="6">
        <v>0</v>
      </c>
      <c r="G208" s="6">
        <v>0.3</v>
      </c>
      <c r="H208" s="6">
        <v>3.39803423455903</v>
      </c>
      <c r="I208" s="6">
        <v>7.0444306984016709</v>
      </c>
      <c r="J208" s="6">
        <v>1.003283711738179</v>
      </c>
      <c r="K208" s="6">
        <v>1.8540037883157301</v>
      </c>
      <c r="L208" s="6">
        <v>0</v>
      </c>
      <c r="M208" s="6">
        <v>0</v>
      </c>
      <c r="N208" s="6">
        <v>0.875</v>
      </c>
      <c r="O208" s="6">
        <v>15.048999999999999</v>
      </c>
      <c r="P208" s="6">
        <v>5.0410000000000004</v>
      </c>
      <c r="Q208" s="6">
        <v>4.9989999999999997</v>
      </c>
    </row>
    <row r="209" spans="1:17" x14ac:dyDescent="0.35">
      <c r="A209" s="6" t="s">
        <v>93</v>
      </c>
      <c r="B209" s="6" t="s">
        <v>212</v>
      </c>
      <c r="C209" s="6">
        <v>11.5</v>
      </c>
      <c r="D209" s="6">
        <v>31.2</v>
      </c>
      <c r="E209" s="6">
        <v>8.6</v>
      </c>
      <c r="F209" s="6">
        <v>26.4</v>
      </c>
      <c r="G209" s="6">
        <v>23.7</v>
      </c>
      <c r="H209" s="6">
        <v>52.589612435418502</v>
      </c>
      <c r="I209" s="6">
        <v>51.827286943166911</v>
      </c>
      <c r="J209" s="6">
        <v>126.783217941979</v>
      </c>
      <c r="K209" s="6">
        <v>79.487355445889804</v>
      </c>
      <c r="L209" s="6">
        <v>14.71</v>
      </c>
      <c r="M209" s="6">
        <v>12.851000000000001</v>
      </c>
      <c r="N209" s="6">
        <v>10.96</v>
      </c>
      <c r="O209" s="6">
        <v>24.254999999999999</v>
      </c>
      <c r="P209" s="6">
        <v>3.0049999999999999</v>
      </c>
      <c r="Q209" s="6">
        <v>84.338999999999999</v>
      </c>
    </row>
    <row r="210" spans="1:17" x14ac:dyDescent="0.35">
      <c r="A210" s="6" t="s">
        <v>90</v>
      </c>
      <c r="B210" s="6" t="s">
        <v>179</v>
      </c>
      <c r="C210" s="6">
        <v>3146.9</v>
      </c>
      <c r="D210" s="6">
        <v>3904</v>
      </c>
      <c r="E210" s="6">
        <v>3693.5</v>
      </c>
      <c r="F210" s="6">
        <v>4157.8</v>
      </c>
      <c r="G210" s="6">
        <v>3708.9</v>
      </c>
      <c r="H210" s="6">
        <v>3948.2753464000011</v>
      </c>
      <c r="I210" s="6">
        <v>3259.677745</v>
      </c>
      <c r="J210" s="6">
        <v>3857.032494999999</v>
      </c>
      <c r="K210" s="6">
        <v>4431.1439039999996</v>
      </c>
      <c r="L210" s="6">
        <v>2450.2629999999999</v>
      </c>
      <c r="M210" s="6">
        <v>1059.8389999999999</v>
      </c>
      <c r="N210" s="6">
        <v>3842.5929999999998</v>
      </c>
      <c r="O210" s="6">
        <v>5573.2190000000001</v>
      </c>
      <c r="P210" s="6">
        <v>5323.4489999999996</v>
      </c>
      <c r="Q210" s="6">
        <v>8898.0820000000003</v>
      </c>
    </row>
    <row r="211" spans="1:17" x14ac:dyDescent="0.35">
      <c r="A211" s="6" t="s">
        <v>90</v>
      </c>
      <c r="B211" s="6" t="s">
        <v>81</v>
      </c>
      <c r="C211" s="6">
        <v>41.3</v>
      </c>
      <c r="D211" s="6">
        <v>23.4</v>
      </c>
      <c r="E211" s="6">
        <v>25.7</v>
      </c>
      <c r="F211" s="6">
        <v>44.1</v>
      </c>
      <c r="G211" s="6">
        <v>30.8</v>
      </c>
      <c r="H211" s="6">
        <v>61.372267882633892</v>
      </c>
      <c r="I211" s="6">
        <v>22.226452097502051</v>
      </c>
      <c r="J211" s="6">
        <v>79.836464187907865</v>
      </c>
      <c r="K211" s="6">
        <v>9.5458163929647508</v>
      </c>
      <c r="L211" s="6">
        <v>0.63300000000000001</v>
      </c>
      <c r="M211" s="6">
        <v>4.093</v>
      </c>
      <c r="N211" s="6">
        <v>75.173000000000002</v>
      </c>
      <c r="O211" s="6">
        <v>66.787999999999997</v>
      </c>
      <c r="P211" s="6">
        <v>27.375</v>
      </c>
      <c r="Q211" s="6">
        <v>73.52</v>
      </c>
    </row>
    <row r="212" spans="1:17" x14ac:dyDescent="0.35">
      <c r="A212" s="6" t="s">
        <v>90</v>
      </c>
      <c r="B212" s="6" t="s">
        <v>82</v>
      </c>
      <c r="C212" s="6">
        <v>5.9</v>
      </c>
      <c r="D212" s="6">
        <v>32.200000000000003</v>
      </c>
      <c r="E212" s="6">
        <v>5.2</v>
      </c>
      <c r="F212" s="6">
        <v>33.1</v>
      </c>
      <c r="G212" s="6">
        <v>3.8</v>
      </c>
      <c r="H212" s="6">
        <v>19.249186791850931</v>
      </c>
      <c r="I212" s="6">
        <v>8.4357656336198055</v>
      </c>
      <c r="J212" s="6">
        <v>63.03215407948705</v>
      </c>
      <c r="K212" s="6">
        <v>22.1839395047772</v>
      </c>
      <c r="L212" s="6">
        <v>76.010000000000005</v>
      </c>
      <c r="M212" s="6">
        <v>17.192</v>
      </c>
      <c r="N212" s="6">
        <v>24.276</v>
      </c>
      <c r="O212" s="6">
        <v>35.44</v>
      </c>
      <c r="P212" s="6">
        <v>34.293999999999997</v>
      </c>
      <c r="Q212" s="6">
        <v>315.74299999999999</v>
      </c>
    </row>
    <row r="213" spans="1:17" x14ac:dyDescent="0.35">
      <c r="A213" s="6" t="s">
        <v>90</v>
      </c>
      <c r="B213" s="6" t="s">
        <v>83</v>
      </c>
      <c r="C213" s="6">
        <v>0</v>
      </c>
      <c r="D213" s="6">
        <v>4</v>
      </c>
      <c r="E213" s="6">
        <v>4.2</v>
      </c>
      <c r="F213" s="6">
        <v>33</v>
      </c>
      <c r="G213" s="6">
        <v>2.8</v>
      </c>
      <c r="H213" s="6">
        <v>11.583886636228479</v>
      </c>
      <c r="I213" s="6">
        <v>12.947376437832</v>
      </c>
      <c r="J213" s="6">
        <v>25.406830188531021</v>
      </c>
      <c r="K213" s="6">
        <v>1.64664815562234</v>
      </c>
      <c r="L213" s="6">
        <v>0</v>
      </c>
      <c r="M213" s="6">
        <v>0</v>
      </c>
      <c r="N213" s="6">
        <v>9.4749999999999996</v>
      </c>
      <c r="O213" s="6">
        <v>17.117000000000001</v>
      </c>
      <c r="P213" s="6">
        <v>7.9409999999999998</v>
      </c>
      <c r="Q213" s="6">
        <v>296.51100000000002</v>
      </c>
    </row>
    <row r="214" spans="1:17" x14ac:dyDescent="0.35">
      <c r="A214" s="6" t="s">
        <v>90</v>
      </c>
      <c r="B214" s="6" t="s">
        <v>84</v>
      </c>
      <c r="C214" s="6">
        <v>15.8</v>
      </c>
      <c r="D214" s="6">
        <v>7.5</v>
      </c>
      <c r="E214" s="6">
        <v>0</v>
      </c>
      <c r="F214" s="6">
        <v>23.4</v>
      </c>
      <c r="G214" s="6">
        <v>0.5</v>
      </c>
      <c r="H214" s="6">
        <v>3.2387210705545888</v>
      </c>
      <c r="I214" s="6">
        <v>26.57407634471415</v>
      </c>
      <c r="J214" s="6">
        <v>1.001294443443985</v>
      </c>
      <c r="K214" s="6">
        <v>3.8922196195099801</v>
      </c>
      <c r="L214" s="6">
        <v>0</v>
      </c>
      <c r="M214" s="6">
        <v>0</v>
      </c>
      <c r="N214" s="6">
        <v>5.9580000000000002</v>
      </c>
      <c r="O214" s="6">
        <v>22.015999999999998</v>
      </c>
      <c r="P214" s="6">
        <v>28.094999999999999</v>
      </c>
      <c r="Q214" s="6">
        <v>50.585999999999999</v>
      </c>
    </row>
    <row r="215" spans="1:17" x14ac:dyDescent="0.35">
      <c r="A215" s="6" t="s">
        <v>90</v>
      </c>
      <c r="B215" s="6" t="s">
        <v>85</v>
      </c>
      <c r="C215" s="6">
        <v>0</v>
      </c>
      <c r="D215" s="6">
        <v>15</v>
      </c>
      <c r="E215" s="6">
        <v>0</v>
      </c>
      <c r="F215" s="6">
        <v>22.5</v>
      </c>
      <c r="G215" s="6">
        <v>2</v>
      </c>
      <c r="H215" s="6">
        <v>7.9789122708094347</v>
      </c>
      <c r="I215" s="6">
        <v>10.735261870564219</v>
      </c>
      <c r="J215" s="6">
        <v>1.001294443443985</v>
      </c>
      <c r="K215" s="6">
        <v>2.8859372939248802</v>
      </c>
      <c r="L215" s="6">
        <v>0</v>
      </c>
      <c r="M215" s="6">
        <v>0</v>
      </c>
      <c r="N215" s="6">
        <v>10.747</v>
      </c>
      <c r="O215" s="6">
        <v>13.608000000000001</v>
      </c>
      <c r="P215" s="6">
        <v>6.93</v>
      </c>
      <c r="Q215" s="6">
        <v>95.545000000000002</v>
      </c>
    </row>
    <row r="216" spans="1:17" x14ac:dyDescent="0.35">
      <c r="A216" s="6" t="s">
        <v>90</v>
      </c>
      <c r="B216" s="6" t="s">
        <v>86</v>
      </c>
      <c r="C216" s="6">
        <v>20.100000000000001</v>
      </c>
      <c r="D216" s="6">
        <v>6.1</v>
      </c>
      <c r="E216" s="6">
        <v>0</v>
      </c>
      <c r="F216" s="6">
        <v>20</v>
      </c>
      <c r="G216" s="6">
        <v>4.2</v>
      </c>
      <c r="H216" s="6">
        <v>11.74325899693266</v>
      </c>
      <c r="I216" s="6">
        <v>18.668000004340762</v>
      </c>
      <c r="J216" s="6">
        <v>31.289199739570211</v>
      </c>
      <c r="K216" s="6">
        <v>2.8116556351462201</v>
      </c>
      <c r="L216" s="6">
        <v>38.042000000000002</v>
      </c>
      <c r="M216" s="6">
        <v>0</v>
      </c>
      <c r="N216" s="6">
        <v>7.8310000000000004</v>
      </c>
      <c r="O216" s="6">
        <v>11.683999999999999</v>
      </c>
      <c r="P216" s="6">
        <v>11.471</v>
      </c>
      <c r="Q216" s="6">
        <v>212.01599999999999</v>
      </c>
    </row>
    <row r="217" spans="1:17" x14ac:dyDescent="0.35">
      <c r="A217" s="6" t="s">
        <v>90</v>
      </c>
      <c r="B217" s="6" t="s">
        <v>89</v>
      </c>
      <c r="C217" s="6">
        <v>7.8</v>
      </c>
      <c r="D217" s="6">
        <v>4</v>
      </c>
      <c r="E217" s="6">
        <v>1</v>
      </c>
      <c r="F217" s="6">
        <v>31.7</v>
      </c>
      <c r="G217" s="6">
        <v>9.4</v>
      </c>
      <c r="H217" s="6">
        <v>20.691270238790029</v>
      </c>
      <c r="I217" s="6">
        <v>19.772460160283941</v>
      </c>
      <c r="J217" s="6">
        <v>40.668330799076678</v>
      </c>
      <c r="K217" s="6">
        <v>14.095808618024501</v>
      </c>
      <c r="L217" s="6">
        <v>14.891999999999999</v>
      </c>
      <c r="M217" s="6">
        <v>9.5779999999999994</v>
      </c>
      <c r="N217" s="6">
        <v>2.9249999999999998</v>
      </c>
      <c r="O217" s="6">
        <v>18.701000000000001</v>
      </c>
      <c r="P217" s="6">
        <v>86.459000000000003</v>
      </c>
      <c r="Q217" s="6">
        <v>64.457999999999998</v>
      </c>
    </row>
    <row r="218" spans="1:17" x14ac:dyDescent="0.35">
      <c r="A218" s="6" t="s">
        <v>90</v>
      </c>
      <c r="B218" s="6" t="s">
        <v>87</v>
      </c>
      <c r="C218" s="6">
        <v>0</v>
      </c>
      <c r="D218" s="6">
        <v>6.3</v>
      </c>
      <c r="E218" s="6">
        <v>0</v>
      </c>
      <c r="F218" s="6">
        <v>27.9</v>
      </c>
      <c r="G218" s="6">
        <v>1</v>
      </c>
      <c r="H218" s="6">
        <v>9.5638264957685486</v>
      </c>
      <c r="I218" s="6">
        <v>16.782392031502528</v>
      </c>
      <c r="J218" s="6">
        <v>3.9272049728760692</v>
      </c>
      <c r="K218" s="6">
        <v>1.6888699032023999</v>
      </c>
      <c r="L218" s="6">
        <v>0</v>
      </c>
      <c r="M218" s="6">
        <v>0</v>
      </c>
      <c r="N218" s="6">
        <v>35.755000000000003</v>
      </c>
      <c r="O218" s="6">
        <v>20.748999999999999</v>
      </c>
      <c r="P218" s="6">
        <v>5.9950000000000001</v>
      </c>
      <c r="Q218" s="6">
        <v>110.004</v>
      </c>
    </row>
    <row r="219" spans="1:17" x14ac:dyDescent="0.35">
      <c r="A219" s="6" t="s">
        <v>90</v>
      </c>
      <c r="B219" s="6" t="s">
        <v>88</v>
      </c>
      <c r="C219" s="6">
        <v>0</v>
      </c>
      <c r="D219" s="6">
        <v>0</v>
      </c>
      <c r="E219" s="6">
        <v>0</v>
      </c>
      <c r="F219" s="6">
        <v>15.7</v>
      </c>
      <c r="G219" s="6">
        <v>1.3</v>
      </c>
      <c r="H219" s="6">
        <v>8.111180596118178</v>
      </c>
      <c r="I219" s="6">
        <v>5.456800001268836</v>
      </c>
      <c r="J219" s="6">
        <v>7.7582346131648992</v>
      </c>
      <c r="K219" s="6">
        <v>0.33308267535380698</v>
      </c>
      <c r="L219" s="6">
        <v>0</v>
      </c>
      <c r="M219" s="6">
        <v>0</v>
      </c>
      <c r="N219" s="6">
        <v>2.5350000000000001</v>
      </c>
      <c r="O219" s="6">
        <v>14.763999999999999</v>
      </c>
      <c r="P219" s="6">
        <v>4.359</v>
      </c>
      <c r="Q219" s="6">
        <v>14.672000000000001</v>
      </c>
    </row>
    <row r="220" spans="1:17" x14ac:dyDescent="0.35">
      <c r="A220" s="6" t="s">
        <v>90</v>
      </c>
      <c r="B220" s="6" t="s">
        <v>92</v>
      </c>
      <c r="C220" s="6">
        <v>25.2</v>
      </c>
      <c r="D220" s="6">
        <v>7.9</v>
      </c>
      <c r="E220" s="6">
        <v>44</v>
      </c>
      <c r="F220" s="6">
        <v>40.1</v>
      </c>
      <c r="G220" s="6">
        <v>12.5</v>
      </c>
      <c r="H220" s="6">
        <v>113.4380837594982</v>
      </c>
      <c r="I220" s="6">
        <v>17.993821044020731</v>
      </c>
      <c r="J220" s="6">
        <v>13.63507701887629</v>
      </c>
      <c r="K220" s="6">
        <v>8.6880587598567693</v>
      </c>
      <c r="L220" s="6">
        <v>208.054</v>
      </c>
      <c r="M220" s="6">
        <v>11.257</v>
      </c>
      <c r="N220" s="6">
        <v>127.756</v>
      </c>
      <c r="O220" s="6">
        <v>231.626</v>
      </c>
      <c r="P220" s="6">
        <v>200.93600000000001</v>
      </c>
      <c r="Q220" s="6">
        <v>574.08100000000002</v>
      </c>
    </row>
    <row r="221" spans="1:17" x14ac:dyDescent="0.35">
      <c r="A221" s="6" t="s">
        <v>90</v>
      </c>
      <c r="B221" s="6" t="s">
        <v>93</v>
      </c>
      <c r="C221" s="6">
        <v>229.2</v>
      </c>
      <c r="D221" s="6">
        <v>0</v>
      </c>
      <c r="E221" s="6">
        <v>0</v>
      </c>
      <c r="F221" s="6">
        <v>14.1</v>
      </c>
      <c r="G221" s="6">
        <v>8.4</v>
      </c>
      <c r="H221" s="6">
        <v>321.21357634567312</v>
      </c>
      <c r="I221" s="6">
        <v>7.188099317560904</v>
      </c>
      <c r="J221" s="6">
        <v>8.72712216194682</v>
      </c>
      <c r="K221" s="6">
        <v>22.7889560367257</v>
      </c>
      <c r="L221" s="6">
        <v>0</v>
      </c>
      <c r="M221" s="6">
        <v>0</v>
      </c>
      <c r="N221" s="6">
        <v>22.289000000000001</v>
      </c>
      <c r="O221" s="6">
        <v>15.234</v>
      </c>
      <c r="P221" s="6">
        <v>10.243</v>
      </c>
      <c r="Q221" s="6">
        <v>83.995000000000005</v>
      </c>
    </row>
    <row r="222" spans="1:17" x14ac:dyDescent="0.35">
      <c r="A222" s="6" t="s">
        <v>90</v>
      </c>
      <c r="B222" s="6" t="s">
        <v>90</v>
      </c>
      <c r="C222" s="6">
        <v>2653.8</v>
      </c>
      <c r="D222" s="6">
        <v>3664.9</v>
      </c>
      <c r="E222" s="6">
        <v>3454.4</v>
      </c>
      <c r="F222" s="6">
        <v>3587.2</v>
      </c>
      <c r="G222" s="6">
        <v>3481.363970643064</v>
      </c>
      <c r="H222" s="6">
        <v>3156.6315611096279</v>
      </c>
      <c r="I222" s="6">
        <v>2973.3636098259531</v>
      </c>
      <c r="J222" s="6">
        <v>3439.2155577870899</v>
      </c>
      <c r="K222" s="6">
        <v>4215.9530848203103</v>
      </c>
      <c r="L222" s="6">
        <v>1985.5591604000001</v>
      </c>
      <c r="M222" s="6">
        <v>946.57799999999997</v>
      </c>
      <c r="N222" s="6">
        <v>3182.8429999999998</v>
      </c>
      <c r="O222" s="6">
        <v>4852.0050000000001</v>
      </c>
      <c r="P222" s="6">
        <v>4132.2889999999998</v>
      </c>
      <c r="Q222" s="6">
        <v>5536.0410000000002</v>
      </c>
    </row>
    <row r="223" spans="1:17" x14ac:dyDescent="0.35">
      <c r="A223" s="6" t="s">
        <v>90</v>
      </c>
      <c r="B223" s="6" t="s">
        <v>91</v>
      </c>
      <c r="C223" s="6">
        <v>23.9</v>
      </c>
      <c r="D223" s="6">
        <v>39.700000000000003</v>
      </c>
      <c r="E223" s="6">
        <v>50.6</v>
      </c>
      <c r="F223" s="6">
        <v>80</v>
      </c>
      <c r="G223" s="6">
        <v>48.3</v>
      </c>
      <c r="H223" s="6">
        <v>31.64679579945777</v>
      </c>
      <c r="I223" s="6">
        <v>40.169891462310318</v>
      </c>
      <c r="J223" s="6">
        <v>25.364843909928521</v>
      </c>
      <c r="K223" s="6">
        <v>31.4442677655362</v>
      </c>
      <c r="L223" s="6">
        <v>34.743000000000002</v>
      </c>
      <c r="M223" s="6">
        <v>28.132000000000001</v>
      </c>
      <c r="N223" s="6">
        <v>13.776</v>
      </c>
      <c r="O223" s="6">
        <v>54.558</v>
      </c>
      <c r="P223" s="6">
        <v>386.56</v>
      </c>
      <c r="Q223" s="6">
        <v>561.92100000000005</v>
      </c>
    </row>
    <row r="224" spans="1:17" x14ac:dyDescent="0.35">
      <c r="A224" s="6" t="s">
        <v>90</v>
      </c>
      <c r="B224" s="6" t="s">
        <v>211</v>
      </c>
      <c r="C224" s="6">
        <v>92.7</v>
      </c>
      <c r="D224" s="6">
        <v>42.6</v>
      </c>
      <c r="E224" s="6">
        <v>47.1</v>
      </c>
      <c r="F224" s="6">
        <v>54.8</v>
      </c>
      <c r="G224" s="6">
        <v>62.7</v>
      </c>
      <c r="H224" s="6">
        <v>51.442122048591742</v>
      </c>
      <c r="I224" s="6">
        <v>24.010327631913231</v>
      </c>
      <c r="J224" s="6">
        <v>70.036969695154752</v>
      </c>
      <c r="K224" s="6">
        <v>40.518687416626499</v>
      </c>
      <c r="L224" s="6">
        <v>57.633000000000003</v>
      </c>
      <c r="M224" s="6">
        <v>27.22</v>
      </c>
      <c r="N224" s="6">
        <v>267.27800000000002</v>
      </c>
      <c r="O224" s="6">
        <v>149.89599999999999</v>
      </c>
      <c r="P224" s="6">
        <v>277.91399999999999</v>
      </c>
      <c r="Q224" s="6">
        <v>783.67</v>
      </c>
    </row>
    <row r="225" spans="1:17" x14ac:dyDescent="0.35">
      <c r="A225" s="6" t="s">
        <v>90</v>
      </c>
      <c r="B225" s="6" t="s">
        <v>94</v>
      </c>
      <c r="C225" s="6">
        <v>31.3</v>
      </c>
      <c r="D225" s="6">
        <v>49.2</v>
      </c>
      <c r="E225" s="6">
        <v>58</v>
      </c>
      <c r="F225" s="6">
        <v>116.9</v>
      </c>
      <c r="G225" s="6">
        <v>35.200000000000003</v>
      </c>
      <c r="H225" s="6">
        <v>78.000468609454998</v>
      </c>
      <c r="I225" s="6">
        <v>39.784204071244609</v>
      </c>
      <c r="J225" s="6">
        <v>36.045074992546077</v>
      </c>
      <c r="K225" s="6">
        <v>30.620864091912001</v>
      </c>
      <c r="L225" s="6">
        <v>34.696839599999997</v>
      </c>
      <c r="M225" s="6">
        <v>9.3629999999999995</v>
      </c>
      <c r="N225" s="6">
        <v>50.41</v>
      </c>
      <c r="O225" s="6">
        <v>39.206000000000003</v>
      </c>
      <c r="P225" s="6">
        <v>64.186000000000007</v>
      </c>
      <c r="Q225" s="6">
        <v>71.594999999999999</v>
      </c>
    </row>
    <row r="226" spans="1:17" x14ac:dyDescent="0.35">
      <c r="A226" s="6" t="s">
        <v>90</v>
      </c>
      <c r="B226" s="6" t="s">
        <v>212</v>
      </c>
      <c r="C226" s="6">
        <v>0</v>
      </c>
      <c r="D226" s="6">
        <v>1.2</v>
      </c>
      <c r="E226" s="6">
        <v>3.2</v>
      </c>
      <c r="F226" s="6">
        <v>13.3</v>
      </c>
      <c r="G226" s="6">
        <v>4.7</v>
      </c>
      <c r="H226" s="6">
        <v>42.370227748010208</v>
      </c>
      <c r="I226" s="6">
        <v>15.56920706536982</v>
      </c>
      <c r="J226" s="6">
        <v>10.0868419669549</v>
      </c>
      <c r="K226" s="6">
        <v>22.046007310506901</v>
      </c>
      <c r="L226" s="6">
        <v>0</v>
      </c>
      <c r="M226" s="6">
        <v>6.4260000000000002</v>
      </c>
      <c r="N226" s="6">
        <v>3.5659999999999998</v>
      </c>
      <c r="O226" s="6">
        <v>9.827</v>
      </c>
      <c r="P226" s="6">
        <v>38.402000000000001</v>
      </c>
      <c r="Q226" s="6">
        <v>53.723999999999997</v>
      </c>
    </row>
    <row r="227" spans="1:17" x14ac:dyDescent="0.35">
      <c r="A227" s="6" t="s">
        <v>91</v>
      </c>
      <c r="B227" s="6" t="s">
        <v>179</v>
      </c>
      <c r="C227" s="6">
        <v>3149.4</v>
      </c>
      <c r="D227" s="6">
        <v>3512</v>
      </c>
      <c r="E227" s="6">
        <v>4285.5</v>
      </c>
      <c r="F227" s="6">
        <v>4452.7</v>
      </c>
      <c r="G227" s="6">
        <v>4564.1000000000004</v>
      </c>
      <c r="H227" s="6">
        <v>4863.6219980999949</v>
      </c>
      <c r="I227" s="6">
        <v>4167.50299</v>
      </c>
      <c r="J227" s="6">
        <v>4805.4706570000017</v>
      </c>
      <c r="K227" s="6">
        <v>5360.1272639999997</v>
      </c>
      <c r="L227" s="6">
        <v>2666.248000000001</v>
      </c>
      <c r="M227" s="6">
        <v>1028.931</v>
      </c>
      <c r="N227" s="6">
        <v>4352.7190000000001</v>
      </c>
      <c r="O227" s="6">
        <v>6157.7079999999996</v>
      </c>
      <c r="P227" s="6">
        <v>5067.473</v>
      </c>
      <c r="Q227" s="6">
        <v>5665.5479999999998</v>
      </c>
    </row>
    <row r="228" spans="1:17" x14ac:dyDescent="0.35">
      <c r="A228" s="6" t="s">
        <v>91</v>
      </c>
      <c r="B228" s="6" t="s">
        <v>81</v>
      </c>
      <c r="C228" s="6">
        <v>13.2</v>
      </c>
      <c r="D228" s="6">
        <v>8.6999999999999993</v>
      </c>
      <c r="E228" s="6">
        <v>14</v>
      </c>
      <c r="F228" s="6">
        <v>54.4</v>
      </c>
      <c r="G228" s="6">
        <v>33.9</v>
      </c>
      <c r="H228" s="6">
        <v>74.626312537568325</v>
      </c>
      <c r="I228" s="6">
        <v>20.82676931287175</v>
      </c>
      <c r="J228" s="6">
        <v>130.96755677962159</v>
      </c>
      <c r="K228" s="6">
        <v>61.0610447791342</v>
      </c>
      <c r="L228" s="6">
        <v>7.8079999999999998</v>
      </c>
      <c r="M228" s="6">
        <v>4.5949999999999998</v>
      </c>
      <c r="N228" s="6">
        <v>24.681999999999999</v>
      </c>
      <c r="O228" s="6">
        <v>99.066999999999993</v>
      </c>
      <c r="P228" s="6">
        <v>41.45</v>
      </c>
      <c r="Q228" s="6">
        <v>30.222999999999999</v>
      </c>
    </row>
    <row r="229" spans="1:17" x14ac:dyDescent="0.35">
      <c r="A229" s="6" t="s">
        <v>91</v>
      </c>
      <c r="B229" s="6" t="s">
        <v>82</v>
      </c>
      <c r="C229" s="6">
        <v>1.7</v>
      </c>
      <c r="D229" s="6">
        <v>0</v>
      </c>
      <c r="E229" s="6">
        <v>16.600000000000001</v>
      </c>
      <c r="F229" s="6">
        <v>17.600000000000001</v>
      </c>
      <c r="G229" s="6">
        <v>2.4</v>
      </c>
      <c r="H229" s="6">
        <v>26.59305295724198</v>
      </c>
      <c r="I229" s="6">
        <v>20.088511790729779</v>
      </c>
      <c r="J229" s="6">
        <v>69.96374426250776</v>
      </c>
      <c r="K229" s="6">
        <v>16.0320504602124</v>
      </c>
      <c r="L229" s="6">
        <v>8.9499999999999993</v>
      </c>
      <c r="M229" s="6">
        <v>5.774</v>
      </c>
      <c r="N229" s="6">
        <v>17.629000000000001</v>
      </c>
      <c r="O229" s="6">
        <v>2.35</v>
      </c>
      <c r="P229" s="6">
        <v>72.561000000000007</v>
      </c>
      <c r="Q229" s="6">
        <v>25.911000000000001</v>
      </c>
    </row>
    <row r="230" spans="1:17" x14ac:dyDescent="0.35">
      <c r="A230" s="6" t="s">
        <v>91</v>
      </c>
      <c r="B230" s="6" t="s">
        <v>83</v>
      </c>
      <c r="C230" s="6">
        <v>3.1</v>
      </c>
      <c r="D230" s="6">
        <v>0</v>
      </c>
      <c r="E230" s="6">
        <v>7.6</v>
      </c>
      <c r="F230" s="6">
        <v>4.5</v>
      </c>
      <c r="G230" s="6">
        <v>16.399999999999999</v>
      </c>
      <c r="H230" s="6">
        <v>58.849467125116639</v>
      </c>
      <c r="I230" s="6">
        <v>73.838230875215743</v>
      </c>
      <c r="J230" s="6">
        <v>31.779107042531361</v>
      </c>
      <c r="K230" s="6">
        <v>2.5907676557017001</v>
      </c>
      <c r="L230" s="6">
        <v>16.187000000000001</v>
      </c>
      <c r="M230" s="6">
        <v>0</v>
      </c>
      <c r="N230" s="6">
        <v>4.867</v>
      </c>
      <c r="O230" s="6">
        <v>28.652000000000001</v>
      </c>
      <c r="P230" s="6">
        <v>23.379000000000001</v>
      </c>
      <c r="Q230" s="6">
        <v>89.927000000000007</v>
      </c>
    </row>
    <row r="231" spans="1:17" x14ac:dyDescent="0.35">
      <c r="A231" s="6" t="s">
        <v>91</v>
      </c>
      <c r="B231" s="6" t="s">
        <v>84</v>
      </c>
      <c r="C231" s="6">
        <v>6.9</v>
      </c>
      <c r="D231" s="6">
        <v>10.6</v>
      </c>
      <c r="E231" s="6">
        <v>22.1</v>
      </c>
      <c r="F231" s="6">
        <v>6.5</v>
      </c>
      <c r="G231" s="6">
        <v>0.5</v>
      </c>
      <c r="H231" s="6">
        <v>19.628245018088499</v>
      </c>
      <c r="I231" s="6">
        <v>73.838230875215743</v>
      </c>
      <c r="J231" s="6">
        <v>25.739806654570941</v>
      </c>
      <c r="K231" s="6">
        <v>13.021998134023899</v>
      </c>
      <c r="L231" s="6">
        <v>4.4669999999999996</v>
      </c>
      <c r="M231" s="6">
        <v>7.774</v>
      </c>
      <c r="N231" s="6">
        <v>16.893999999999998</v>
      </c>
      <c r="O231" s="6">
        <v>6.1369999999999996</v>
      </c>
      <c r="P231" s="6">
        <v>7.0339999999999998</v>
      </c>
      <c r="Q231" s="6">
        <v>96.988</v>
      </c>
    </row>
    <row r="232" spans="1:17" x14ac:dyDescent="0.35">
      <c r="A232" s="6" t="s">
        <v>91</v>
      </c>
      <c r="B232" s="6" t="s">
        <v>85</v>
      </c>
      <c r="C232" s="6">
        <v>3.6</v>
      </c>
      <c r="D232" s="6">
        <v>0</v>
      </c>
      <c r="E232" s="6">
        <v>5</v>
      </c>
      <c r="F232" s="6">
        <v>0.8</v>
      </c>
      <c r="G232" s="6">
        <v>5.3</v>
      </c>
      <c r="H232" s="6">
        <v>8.8419352692203574</v>
      </c>
      <c r="I232" s="6">
        <v>73.838230875215743</v>
      </c>
      <c r="J232" s="6">
        <v>14.78436874370558</v>
      </c>
      <c r="K232" s="6">
        <v>3.8288767517472899</v>
      </c>
      <c r="L232" s="6">
        <v>0</v>
      </c>
      <c r="M232" s="6">
        <v>3.7090000000000001</v>
      </c>
      <c r="N232" s="6">
        <v>4.1479999999999997</v>
      </c>
      <c r="O232" s="6">
        <v>49.18</v>
      </c>
      <c r="P232" s="6">
        <v>8.0980000000000008</v>
      </c>
      <c r="Q232" s="6">
        <v>51.548000000000002</v>
      </c>
    </row>
    <row r="233" spans="1:17" x14ac:dyDescent="0.35">
      <c r="A233" s="6" t="s">
        <v>91</v>
      </c>
      <c r="B233" s="6" t="s">
        <v>86</v>
      </c>
      <c r="C233" s="6">
        <v>5.7</v>
      </c>
      <c r="D233" s="6">
        <v>3.6</v>
      </c>
      <c r="E233" s="6">
        <v>2.8</v>
      </c>
      <c r="F233" s="6">
        <v>1</v>
      </c>
      <c r="G233" s="6">
        <v>6.9</v>
      </c>
      <c r="H233" s="6">
        <v>25.364043510047029</v>
      </c>
      <c r="I233" s="6">
        <v>73.838230875215743</v>
      </c>
      <c r="J233" s="6">
        <v>18.200737770207201</v>
      </c>
      <c r="K233" s="6">
        <v>18.3884316341972</v>
      </c>
      <c r="L233" s="6">
        <v>2.847</v>
      </c>
      <c r="M233" s="6">
        <v>0</v>
      </c>
      <c r="N233" s="6">
        <v>8.8780000000000001</v>
      </c>
      <c r="O233" s="6">
        <v>17.117000000000001</v>
      </c>
      <c r="P233" s="6">
        <v>12.647</v>
      </c>
      <c r="Q233" s="6">
        <v>8.7590000000000003</v>
      </c>
    </row>
    <row r="234" spans="1:17" x14ac:dyDescent="0.35">
      <c r="A234" s="6" t="s">
        <v>91</v>
      </c>
      <c r="B234" s="6" t="s">
        <v>89</v>
      </c>
      <c r="C234" s="6">
        <v>9.4</v>
      </c>
      <c r="D234" s="6">
        <v>14.1</v>
      </c>
      <c r="E234" s="6">
        <v>1.7</v>
      </c>
      <c r="F234" s="6">
        <v>19.600000000000001</v>
      </c>
      <c r="G234" s="6">
        <v>5.4</v>
      </c>
      <c r="H234" s="6">
        <v>29.31908047580124</v>
      </c>
      <c r="I234" s="6">
        <v>24.110847202510229</v>
      </c>
      <c r="J234" s="6">
        <v>13.99541546787856</v>
      </c>
      <c r="K234" s="6">
        <v>6.8583444808509597</v>
      </c>
      <c r="L234" s="6">
        <v>0</v>
      </c>
      <c r="M234" s="6">
        <v>35.042999999999999</v>
      </c>
      <c r="N234" s="6">
        <v>45.710999999999999</v>
      </c>
      <c r="O234" s="6">
        <v>64.510000000000005</v>
      </c>
      <c r="P234" s="6">
        <v>41.88</v>
      </c>
      <c r="Q234" s="6">
        <v>138.20400000000001</v>
      </c>
    </row>
    <row r="235" spans="1:17" x14ac:dyDescent="0.35">
      <c r="A235" s="6" t="s">
        <v>91</v>
      </c>
      <c r="B235" s="6" t="s">
        <v>87</v>
      </c>
      <c r="C235" s="6">
        <v>4.4000000000000004</v>
      </c>
      <c r="D235" s="6">
        <v>2.8</v>
      </c>
      <c r="E235" s="6">
        <v>16</v>
      </c>
      <c r="F235" s="6">
        <v>16.3</v>
      </c>
      <c r="G235" s="6">
        <v>0.8</v>
      </c>
      <c r="H235" s="6">
        <v>12.62338335371385</v>
      </c>
      <c r="I235" s="6">
        <v>73.838230875215743</v>
      </c>
      <c r="J235" s="6">
        <v>15.036061968640899</v>
      </c>
      <c r="K235" s="6">
        <v>1.7279908446778001</v>
      </c>
      <c r="L235" s="6">
        <v>0</v>
      </c>
      <c r="M235" s="6">
        <v>0</v>
      </c>
      <c r="N235" s="6">
        <v>54.914000000000001</v>
      </c>
      <c r="O235" s="6">
        <v>3.3889999999999998</v>
      </c>
      <c r="P235" s="6">
        <v>5.5609999999999999</v>
      </c>
      <c r="Q235" s="6">
        <v>18.356000000000002</v>
      </c>
    </row>
    <row r="236" spans="1:17" x14ac:dyDescent="0.35">
      <c r="A236" s="6" t="s">
        <v>91</v>
      </c>
      <c r="B236" s="6" t="s">
        <v>88</v>
      </c>
      <c r="C236" s="6">
        <v>11.1</v>
      </c>
      <c r="D236" s="6">
        <v>0</v>
      </c>
      <c r="E236" s="6">
        <v>0</v>
      </c>
      <c r="F236" s="6">
        <v>5.5</v>
      </c>
      <c r="G236" s="6">
        <v>2.6</v>
      </c>
      <c r="H236" s="6">
        <v>3.4625478756461638</v>
      </c>
      <c r="I236" s="6">
        <v>4.419771904613226</v>
      </c>
      <c r="J236" s="6">
        <v>1.6244377190222119</v>
      </c>
      <c r="K236" s="6">
        <v>0.38751839817174999</v>
      </c>
      <c r="L236" s="6">
        <v>0</v>
      </c>
      <c r="M236" s="6">
        <v>0</v>
      </c>
      <c r="N236" s="6">
        <v>23.334</v>
      </c>
      <c r="O236" s="6">
        <v>6.5330000000000004</v>
      </c>
      <c r="P236" s="6">
        <v>13.178000000000001</v>
      </c>
      <c r="Q236" s="6">
        <v>4.4000000000000004</v>
      </c>
    </row>
    <row r="237" spans="1:17" x14ac:dyDescent="0.35">
      <c r="A237" s="6" t="s">
        <v>91</v>
      </c>
      <c r="B237" s="6" t="s">
        <v>92</v>
      </c>
      <c r="C237" s="6">
        <v>7.6</v>
      </c>
      <c r="D237" s="6">
        <v>35.6</v>
      </c>
      <c r="E237" s="6">
        <v>57.6</v>
      </c>
      <c r="F237" s="6">
        <v>48.1</v>
      </c>
      <c r="G237" s="6">
        <v>16.100000000000001</v>
      </c>
      <c r="H237" s="6">
        <v>27.05651316489682</v>
      </c>
      <c r="I237" s="6">
        <v>92.421504549851122</v>
      </c>
      <c r="J237" s="6">
        <v>48.968866734803903</v>
      </c>
      <c r="K237" s="6">
        <v>63.6531541258937</v>
      </c>
      <c r="L237" s="6">
        <v>135.40799999999999</v>
      </c>
      <c r="M237" s="6">
        <v>19.202000000000002</v>
      </c>
      <c r="N237" s="6">
        <v>68.870999999999995</v>
      </c>
      <c r="O237" s="6">
        <v>117.32</v>
      </c>
      <c r="P237" s="6">
        <v>211.80799999999999</v>
      </c>
      <c r="Q237" s="6">
        <v>322.42099999999999</v>
      </c>
    </row>
    <row r="238" spans="1:17" x14ac:dyDescent="0.35">
      <c r="A238" s="6" t="s">
        <v>91</v>
      </c>
      <c r="B238" s="6" t="s">
        <v>93</v>
      </c>
      <c r="C238" s="6">
        <v>17</v>
      </c>
      <c r="D238" s="6">
        <v>0</v>
      </c>
      <c r="E238" s="6">
        <v>20.8</v>
      </c>
      <c r="F238" s="6">
        <v>5.9</v>
      </c>
      <c r="G238" s="6">
        <v>12.7</v>
      </c>
      <c r="H238" s="6">
        <v>13.207309228729031</v>
      </c>
      <c r="I238" s="6">
        <v>73.838230875215743</v>
      </c>
      <c r="J238" s="6">
        <v>1.3536980991851759</v>
      </c>
      <c r="K238" s="6">
        <v>9.9523986096499293</v>
      </c>
      <c r="L238" s="6">
        <v>0</v>
      </c>
      <c r="M238" s="6">
        <v>0</v>
      </c>
      <c r="N238" s="6">
        <v>9.2270000000000003</v>
      </c>
      <c r="O238" s="6">
        <v>21.491</v>
      </c>
      <c r="P238" s="6">
        <v>22.411000000000001</v>
      </c>
      <c r="Q238" s="6">
        <v>3.5019999999999998</v>
      </c>
    </row>
    <row r="239" spans="1:17" x14ac:dyDescent="0.35">
      <c r="A239" s="6" t="s">
        <v>91</v>
      </c>
      <c r="B239" s="6" t="s">
        <v>90</v>
      </c>
      <c r="C239" s="6">
        <v>214.6</v>
      </c>
      <c r="D239" s="6">
        <v>115.3</v>
      </c>
      <c r="E239" s="6">
        <v>133.80000000000001</v>
      </c>
      <c r="F239" s="6">
        <v>122.9</v>
      </c>
      <c r="G239" s="6">
        <v>117.8</v>
      </c>
      <c r="H239" s="6">
        <v>160.32989047047371</v>
      </c>
      <c r="I239" s="6">
        <v>227.89945048384101</v>
      </c>
      <c r="J239" s="6">
        <v>299.48283541074079</v>
      </c>
      <c r="K239" s="6">
        <v>210.07482198328401</v>
      </c>
      <c r="L239" s="6">
        <v>10.932</v>
      </c>
      <c r="M239" s="6">
        <v>26.981000000000002</v>
      </c>
      <c r="N239" s="6">
        <v>166.58500000000001</v>
      </c>
      <c r="O239" s="6">
        <v>248.488</v>
      </c>
      <c r="P239" s="6">
        <v>247.465</v>
      </c>
      <c r="Q239" s="6">
        <v>149.61000000000001</v>
      </c>
    </row>
    <row r="240" spans="1:17" x14ac:dyDescent="0.35">
      <c r="A240" s="6" t="s">
        <v>91</v>
      </c>
      <c r="B240" s="6" t="s">
        <v>91</v>
      </c>
      <c r="C240" s="6">
        <v>2658.8</v>
      </c>
      <c r="D240" s="6">
        <v>3129.9</v>
      </c>
      <c r="E240" s="6">
        <v>3833.5</v>
      </c>
      <c r="F240" s="6">
        <v>3999.3</v>
      </c>
      <c r="G240" s="6">
        <v>4200.2669828777653</v>
      </c>
      <c r="H240" s="6">
        <v>4227.1569344456138</v>
      </c>
      <c r="I240" s="6">
        <v>3048.9684947634701</v>
      </c>
      <c r="J240" s="6">
        <v>3787.7301631604851</v>
      </c>
      <c r="K240" s="6">
        <v>4671.6625456329502</v>
      </c>
      <c r="L240" s="6">
        <v>2345.9649487000001</v>
      </c>
      <c r="M240" s="6">
        <v>884.85799999999995</v>
      </c>
      <c r="N240" s="6">
        <v>3685.904</v>
      </c>
      <c r="O240" s="6">
        <v>4938.3239999999996</v>
      </c>
      <c r="P240" s="6">
        <v>4055.7849999999999</v>
      </c>
      <c r="Q240" s="6">
        <v>4128.1390000000001</v>
      </c>
    </row>
    <row r="241" spans="1:17" x14ac:dyDescent="0.35">
      <c r="A241" s="6" t="s">
        <v>91</v>
      </c>
      <c r="B241" s="6" t="s">
        <v>211</v>
      </c>
      <c r="C241" s="6">
        <v>186.7</v>
      </c>
      <c r="D241" s="6">
        <v>189.2</v>
      </c>
      <c r="E241" s="6">
        <v>146.80000000000001</v>
      </c>
      <c r="F241" s="6">
        <v>134.30000000000001</v>
      </c>
      <c r="G241" s="6">
        <v>126.9</v>
      </c>
      <c r="H241" s="6">
        <v>144.46530742183589</v>
      </c>
      <c r="I241" s="6">
        <v>253.97153708809699</v>
      </c>
      <c r="J241" s="6">
        <v>277.38257245382817</v>
      </c>
      <c r="K241" s="6">
        <v>221.030919809925</v>
      </c>
      <c r="L241" s="6">
        <v>79.552000000000007</v>
      </c>
      <c r="M241" s="6">
        <v>26.515999999999998</v>
      </c>
      <c r="N241" s="6">
        <v>195.03899999999999</v>
      </c>
      <c r="O241" s="6">
        <v>528.755</v>
      </c>
      <c r="P241" s="6">
        <v>245.98099999999999</v>
      </c>
      <c r="Q241" s="6">
        <v>575.28399999999999</v>
      </c>
    </row>
    <row r="242" spans="1:17" x14ac:dyDescent="0.35">
      <c r="A242" s="6" t="s">
        <v>91</v>
      </c>
      <c r="B242" s="6" t="s">
        <v>94</v>
      </c>
      <c r="C242" s="6">
        <v>3.3</v>
      </c>
      <c r="D242" s="6">
        <v>2</v>
      </c>
      <c r="E242" s="6">
        <v>5.4</v>
      </c>
      <c r="F242" s="6">
        <v>5.5</v>
      </c>
      <c r="G242" s="6">
        <v>9.9</v>
      </c>
      <c r="H242" s="6">
        <v>10.49371249499019</v>
      </c>
      <c r="I242" s="6">
        <v>22.307636382483501</v>
      </c>
      <c r="J242" s="6">
        <v>23.442601470740009</v>
      </c>
      <c r="K242" s="6">
        <v>20.046156131840501</v>
      </c>
      <c r="L242" s="6">
        <v>27.949051300000001</v>
      </c>
      <c r="M242" s="6">
        <v>9.7460000000000004</v>
      </c>
      <c r="N242" s="6">
        <v>25.86</v>
      </c>
      <c r="O242" s="6">
        <v>8.2119999999999997</v>
      </c>
      <c r="P242" s="6">
        <v>27.314</v>
      </c>
      <c r="Q242" s="6">
        <v>9.609</v>
      </c>
    </row>
    <row r="243" spans="1:17" x14ac:dyDescent="0.35">
      <c r="A243" s="6" t="s">
        <v>91</v>
      </c>
      <c r="B243" s="6" t="s">
        <v>212</v>
      </c>
      <c r="C243" s="6">
        <v>2.6</v>
      </c>
      <c r="D243" s="6">
        <v>0</v>
      </c>
      <c r="E243" s="6">
        <v>1.8</v>
      </c>
      <c r="F243" s="6">
        <v>10.4</v>
      </c>
      <c r="G243" s="6">
        <v>6.3</v>
      </c>
      <c r="H243" s="6">
        <v>21.604262751011039</v>
      </c>
      <c r="I243" s="6">
        <v>9.4590812702380234</v>
      </c>
      <c r="J243" s="6">
        <v>45.018683261532402</v>
      </c>
      <c r="K243" s="6">
        <v>39.810244567736298</v>
      </c>
      <c r="L243" s="6">
        <v>26.183</v>
      </c>
      <c r="M243" s="6">
        <v>4.7329999999999997</v>
      </c>
      <c r="N243" s="6">
        <v>0.17599999999999999</v>
      </c>
      <c r="O243" s="6">
        <v>18.183</v>
      </c>
      <c r="P243" s="6">
        <v>30.920999999999999</v>
      </c>
      <c r="Q243" s="6">
        <v>12.667</v>
      </c>
    </row>
    <row r="244" spans="1:17" x14ac:dyDescent="0.35">
      <c r="A244" s="6" t="s">
        <v>211</v>
      </c>
      <c r="B244" s="6" t="s">
        <v>179</v>
      </c>
      <c r="C244" s="6">
        <v>5190.8999999999996</v>
      </c>
      <c r="D244" s="6">
        <v>5457.1</v>
      </c>
      <c r="E244" s="6">
        <v>5498.8</v>
      </c>
      <c r="F244" s="6">
        <v>5641.8</v>
      </c>
      <c r="G244" s="6">
        <v>5765.9</v>
      </c>
      <c r="H244" s="6">
        <v>6079.5143666000095</v>
      </c>
      <c r="I244" s="6">
        <v>7564.7520710000017</v>
      </c>
      <c r="J244" s="6">
        <v>7397.6910720000024</v>
      </c>
      <c r="K244" s="6">
        <v>8201.1147290803892</v>
      </c>
      <c r="L244" s="6">
        <v>4513.2829999999994</v>
      </c>
      <c r="M244" s="6">
        <v>1730.8789999999999</v>
      </c>
      <c r="N244" s="6">
        <v>6863.4979999999996</v>
      </c>
      <c r="O244" s="6">
        <v>7039.8320000000003</v>
      </c>
      <c r="P244" s="6">
        <v>15233.52</v>
      </c>
      <c r="Q244" s="6">
        <v>11689.986999999999</v>
      </c>
    </row>
    <row r="245" spans="1:17" x14ac:dyDescent="0.35">
      <c r="A245" s="6" t="s">
        <v>211</v>
      </c>
      <c r="B245" s="6" t="s">
        <v>81</v>
      </c>
      <c r="C245" s="6">
        <v>485.3</v>
      </c>
      <c r="D245" s="6">
        <v>585.79999999999995</v>
      </c>
      <c r="E245" s="6">
        <v>422.8</v>
      </c>
      <c r="F245" s="6">
        <v>557.29999999999995</v>
      </c>
      <c r="G245" s="6">
        <v>900.5</v>
      </c>
      <c r="H245" s="6">
        <v>777.82055333126891</v>
      </c>
      <c r="I245" s="6">
        <v>800.22203805905178</v>
      </c>
      <c r="J245" s="6">
        <v>933.18325765520456</v>
      </c>
      <c r="K245" s="6">
        <v>973.18111177885396</v>
      </c>
      <c r="L245" s="6">
        <v>439.839</v>
      </c>
      <c r="M245" s="6">
        <v>108.193</v>
      </c>
      <c r="N245" s="6">
        <v>718.52800000000002</v>
      </c>
      <c r="O245" s="6">
        <v>616.59799999999996</v>
      </c>
      <c r="P245" s="6">
        <v>1689.6949999999999</v>
      </c>
      <c r="Q245" s="6">
        <v>1469.998</v>
      </c>
    </row>
    <row r="246" spans="1:17" x14ac:dyDescent="0.35">
      <c r="A246" s="6" t="s">
        <v>211</v>
      </c>
      <c r="B246" s="6" t="s">
        <v>82</v>
      </c>
      <c r="C246" s="6">
        <v>578.4</v>
      </c>
      <c r="D246" s="6">
        <v>313.8</v>
      </c>
      <c r="E246" s="6">
        <v>388.7</v>
      </c>
      <c r="F246" s="6">
        <v>343.1</v>
      </c>
      <c r="G246" s="6">
        <v>381.6</v>
      </c>
      <c r="H246" s="6">
        <v>504.79570675943552</v>
      </c>
      <c r="I246" s="6">
        <v>303.04743329021233</v>
      </c>
      <c r="J246" s="6">
        <v>260.43862560804172</v>
      </c>
      <c r="K246" s="6">
        <v>150.81814514021301</v>
      </c>
      <c r="L246" s="6">
        <v>258.87799999999999</v>
      </c>
      <c r="M246" s="6">
        <v>185.679</v>
      </c>
      <c r="N246" s="6">
        <v>401.7</v>
      </c>
      <c r="O246" s="6">
        <v>284.80700000000002</v>
      </c>
      <c r="P246" s="6">
        <v>624.87599999999998</v>
      </c>
      <c r="Q246" s="6">
        <v>619.59</v>
      </c>
    </row>
    <row r="247" spans="1:17" x14ac:dyDescent="0.35">
      <c r="A247" s="6" t="s">
        <v>211</v>
      </c>
      <c r="B247" s="6" t="s">
        <v>83</v>
      </c>
      <c r="C247" s="6">
        <v>197.7</v>
      </c>
      <c r="D247" s="6">
        <v>230.1</v>
      </c>
      <c r="E247" s="6">
        <v>227.3</v>
      </c>
      <c r="F247" s="6">
        <v>206.4</v>
      </c>
      <c r="G247" s="6">
        <v>225.6</v>
      </c>
      <c r="H247" s="6">
        <v>207.82563399114659</v>
      </c>
      <c r="I247" s="6">
        <v>368.84959165161467</v>
      </c>
      <c r="J247" s="6">
        <v>242.4936191158105</v>
      </c>
      <c r="K247" s="6">
        <v>384.88082286446001</v>
      </c>
      <c r="L247" s="6">
        <v>336.923</v>
      </c>
      <c r="M247" s="6">
        <v>30.440999999999999</v>
      </c>
      <c r="N247" s="6">
        <v>501.94799999999998</v>
      </c>
      <c r="O247" s="6">
        <v>189.06399999999999</v>
      </c>
      <c r="P247" s="6">
        <v>1289.4469999999999</v>
      </c>
      <c r="Q247" s="6">
        <v>524.89800000000002</v>
      </c>
    </row>
    <row r="248" spans="1:17" x14ac:dyDescent="0.35">
      <c r="A248" s="6" t="s">
        <v>211</v>
      </c>
      <c r="B248" s="6" t="s">
        <v>84</v>
      </c>
      <c r="C248" s="6">
        <v>580.5</v>
      </c>
      <c r="D248" s="6">
        <v>485.1</v>
      </c>
      <c r="E248" s="6">
        <v>690.3</v>
      </c>
      <c r="F248" s="6">
        <v>739.3</v>
      </c>
      <c r="G248" s="6">
        <v>717.9</v>
      </c>
      <c r="H248" s="6">
        <v>736.65369211236634</v>
      </c>
      <c r="I248" s="6">
        <v>633.37979962475424</v>
      </c>
      <c r="J248" s="6">
        <v>514.46266051610826</v>
      </c>
      <c r="K248" s="6">
        <v>610.45590722840495</v>
      </c>
      <c r="L248" s="6">
        <v>264.14600000000002</v>
      </c>
      <c r="M248" s="6">
        <v>115.40600000000001</v>
      </c>
      <c r="N248" s="6">
        <v>814.25699999999995</v>
      </c>
      <c r="O248" s="6">
        <v>644.94000000000005</v>
      </c>
      <c r="P248" s="6">
        <v>1520.4380000000001</v>
      </c>
      <c r="Q248" s="6">
        <v>915.96753028201999</v>
      </c>
    </row>
    <row r="249" spans="1:17" x14ac:dyDescent="0.35">
      <c r="A249" s="6" t="s">
        <v>211</v>
      </c>
      <c r="B249" s="6" t="s">
        <v>85</v>
      </c>
      <c r="C249" s="6">
        <v>751.3</v>
      </c>
      <c r="D249" s="6">
        <v>533.20000000000005</v>
      </c>
      <c r="E249" s="6">
        <v>551.4</v>
      </c>
      <c r="F249" s="6">
        <v>701.4</v>
      </c>
      <c r="G249" s="6">
        <v>506.2</v>
      </c>
      <c r="H249" s="6">
        <v>938.1052788543343</v>
      </c>
      <c r="I249" s="6">
        <v>845.03021319680022</v>
      </c>
      <c r="J249" s="6">
        <v>1099.542249814021</v>
      </c>
      <c r="K249" s="6">
        <v>1449.79050601158</v>
      </c>
      <c r="L249" s="6">
        <v>271.14400000000001</v>
      </c>
      <c r="M249" s="6">
        <v>255.76499999999999</v>
      </c>
      <c r="N249" s="6">
        <v>731.63699999999994</v>
      </c>
      <c r="O249" s="6">
        <v>443.93099999999998</v>
      </c>
      <c r="P249" s="6">
        <v>1815.2929999999999</v>
      </c>
      <c r="Q249" s="6">
        <v>937.42499999999995</v>
      </c>
    </row>
    <row r="250" spans="1:17" x14ac:dyDescent="0.35">
      <c r="A250" s="6" t="s">
        <v>211</v>
      </c>
      <c r="B250" s="6" t="s">
        <v>86</v>
      </c>
      <c r="C250" s="6">
        <v>496.3</v>
      </c>
      <c r="D250" s="6">
        <v>786.9</v>
      </c>
      <c r="E250" s="6">
        <v>536.20000000000005</v>
      </c>
      <c r="F250" s="6">
        <v>914</v>
      </c>
      <c r="G250" s="6">
        <v>621.6</v>
      </c>
      <c r="H250" s="6">
        <v>585.84416528397367</v>
      </c>
      <c r="I250" s="6">
        <v>1441.2520924828</v>
      </c>
      <c r="J250" s="6">
        <v>1800.2312880443119</v>
      </c>
      <c r="K250" s="6">
        <v>1097.93341723649</v>
      </c>
      <c r="L250" s="6">
        <v>299.48099999999999</v>
      </c>
      <c r="M250" s="6">
        <v>100.324</v>
      </c>
      <c r="N250" s="6">
        <v>1098.075</v>
      </c>
      <c r="O250" s="6">
        <v>1151.479</v>
      </c>
      <c r="P250" s="6">
        <v>2485.9250000000002</v>
      </c>
      <c r="Q250" s="6">
        <v>1635.1114697179801</v>
      </c>
    </row>
    <row r="251" spans="1:17" x14ac:dyDescent="0.35">
      <c r="A251" s="6" t="s">
        <v>211</v>
      </c>
      <c r="B251" s="6" t="s">
        <v>89</v>
      </c>
      <c r="C251" s="6">
        <v>609.9</v>
      </c>
      <c r="D251" s="6">
        <v>355.5</v>
      </c>
      <c r="E251" s="6">
        <v>413.1</v>
      </c>
      <c r="F251" s="6">
        <v>307.39999999999998</v>
      </c>
      <c r="G251" s="6">
        <v>275.7</v>
      </c>
      <c r="H251" s="6">
        <v>239.31609735061241</v>
      </c>
      <c r="I251" s="6">
        <v>406.62314728580299</v>
      </c>
      <c r="J251" s="6">
        <v>169.1448876695562</v>
      </c>
      <c r="K251" s="6">
        <v>322.83246606054797</v>
      </c>
      <c r="L251" s="6">
        <v>130.166</v>
      </c>
      <c r="M251" s="6">
        <v>94.325999999999993</v>
      </c>
      <c r="N251" s="6">
        <v>296.42200000000003</v>
      </c>
      <c r="O251" s="6">
        <v>434.69900000000001</v>
      </c>
      <c r="P251" s="6">
        <v>1088.1849999999999</v>
      </c>
      <c r="Q251" s="6">
        <v>548.43799999999999</v>
      </c>
    </row>
    <row r="252" spans="1:17" x14ac:dyDescent="0.35">
      <c r="A252" s="6" t="s">
        <v>211</v>
      </c>
      <c r="B252" s="6" t="s">
        <v>87</v>
      </c>
      <c r="C252" s="6">
        <v>684.9</v>
      </c>
      <c r="D252" s="6">
        <v>1111.0999999999999</v>
      </c>
      <c r="E252" s="6">
        <v>1150.9000000000001</v>
      </c>
      <c r="F252" s="6">
        <v>1232.8</v>
      </c>
      <c r="G252" s="6">
        <v>1015.4</v>
      </c>
      <c r="H252" s="6">
        <v>1410.7397542831829</v>
      </c>
      <c r="I252" s="6">
        <v>1002.636264967522</v>
      </c>
      <c r="J252" s="6">
        <v>940.79273460412435</v>
      </c>
      <c r="K252" s="6">
        <v>1465.9639878789201</v>
      </c>
      <c r="L252" s="6">
        <v>663.173</v>
      </c>
      <c r="M252" s="6">
        <v>247.21199999999999</v>
      </c>
      <c r="N252" s="6">
        <v>1009.571</v>
      </c>
      <c r="O252" s="6">
        <v>929.06700000000001</v>
      </c>
      <c r="P252" s="6">
        <v>1881.5709999999999</v>
      </c>
      <c r="Q252" s="6">
        <v>2017.8019999999999</v>
      </c>
    </row>
    <row r="253" spans="1:17" x14ac:dyDescent="0.35">
      <c r="A253" s="6" t="s">
        <v>211</v>
      </c>
      <c r="B253" s="6" t="s">
        <v>88</v>
      </c>
      <c r="C253" s="6">
        <v>82.8</v>
      </c>
      <c r="D253" s="6">
        <v>54.1</v>
      </c>
      <c r="E253" s="6">
        <v>12.3</v>
      </c>
      <c r="F253" s="6">
        <v>12.9</v>
      </c>
      <c r="G253" s="6">
        <v>20</v>
      </c>
      <c r="H253" s="6">
        <v>18.440099040357168</v>
      </c>
      <c r="I253" s="6">
        <v>76.158679540172429</v>
      </c>
      <c r="J253" s="6">
        <v>1.98998790729101</v>
      </c>
      <c r="K253" s="6">
        <v>1.9726616958512599</v>
      </c>
      <c r="L253" s="6">
        <v>4.1239999999999997</v>
      </c>
      <c r="M253" s="6">
        <v>3.1030000000000002</v>
      </c>
      <c r="N253" s="6">
        <v>36.774999999999999</v>
      </c>
      <c r="O253" s="6">
        <v>33.521000000000001</v>
      </c>
      <c r="P253" s="6">
        <v>97.850999999999999</v>
      </c>
      <c r="Q253" s="6">
        <v>97.926000000000002</v>
      </c>
    </row>
    <row r="254" spans="1:17" x14ac:dyDescent="0.35">
      <c r="A254" s="6" t="s">
        <v>211</v>
      </c>
      <c r="B254" s="6" t="s">
        <v>92</v>
      </c>
      <c r="C254" s="6">
        <v>392.3</v>
      </c>
      <c r="D254" s="6">
        <v>559.79999999999995</v>
      </c>
      <c r="E254" s="6">
        <v>568.1</v>
      </c>
      <c r="F254" s="6">
        <v>375.9</v>
      </c>
      <c r="G254" s="6">
        <v>596.29999999999995</v>
      </c>
      <c r="H254" s="6">
        <v>371.43245188021348</v>
      </c>
      <c r="I254" s="6">
        <v>821.81866131678294</v>
      </c>
      <c r="J254" s="6">
        <v>641.98192738020089</v>
      </c>
      <c r="K254" s="6">
        <v>1165.7826119674701</v>
      </c>
      <c r="L254" s="6">
        <v>1035.404</v>
      </c>
      <c r="M254" s="6">
        <v>279.74</v>
      </c>
      <c r="N254" s="6">
        <v>883.51400000000001</v>
      </c>
      <c r="O254" s="6">
        <v>1677.5630000000001</v>
      </c>
      <c r="P254" s="6">
        <v>1026.3599999999999</v>
      </c>
      <c r="Q254" s="6">
        <v>1335.4380000000001</v>
      </c>
    </row>
    <row r="255" spans="1:17" x14ac:dyDescent="0.35">
      <c r="A255" s="6" t="s">
        <v>211</v>
      </c>
      <c r="B255" s="6" t="s">
        <v>93</v>
      </c>
      <c r="C255" s="6">
        <v>137.9</v>
      </c>
      <c r="D255" s="6">
        <v>194.6</v>
      </c>
      <c r="E255" s="6">
        <v>379.3</v>
      </c>
      <c r="F255" s="6">
        <v>68.3</v>
      </c>
      <c r="G255" s="6">
        <v>135.80000000000001</v>
      </c>
      <c r="H255" s="6">
        <v>150.07858466607851</v>
      </c>
      <c r="I255" s="6">
        <v>308.19682561742349</v>
      </c>
      <c r="J255" s="6">
        <v>343.22633237076548</v>
      </c>
      <c r="K255" s="6">
        <v>469.82558744324302</v>
      </c>
      <c r="L255" s="6">
        <v>82.861000000000004</v>
      </c>
      <c r="M255" s="6">
        <v>28.425000000000001</v>
      </c>
      <c r="N255" s="6">
        <v>127.459</v>
      </c>
      <c r="O255" s="6">
        <v>126.992</v>
      </c>
      <c r="P255" s="6">
        <v>954.47799999999995</v>
      </c>
      <c r="Q255" s="6">
        <v>387.10700000000003</v>
      </c>
    </row>
    <row r="256" spans="1:17" x14ac:dyDescent="0.35">
      <c r="A256" s="6" t="s">
        <v>211</v>
      </c>
      <c r="B256" s="6" t="s">
        <v>90</v>
      </c>
      <c r="C256" s="6">
        <v>69.5</v>
      </c>
      <c r="D256" s="6">
        <v>74.400000000000006</v>
      </c>
      <c r="E256" s="6">
        <v>35.700000000000003</v>
      </c>
      <c r="F256" s="6">
        <v>14.5</v>
      </c>
      <c r="G256" s="6">
        <v>26.7</v>
      </c>
      <c r="H256" s="6">
        <v>60.162284434866713</v>
      </c>
      <c r="I256" s="6">
        <v>206.8883339933619</v>
      </c>
      <c r="J256" s="6">
        <v>114.338963042835</v>
      </c>
      <c r="K256" s="6">
        <v>39.222135263467997</v>
      </c>
      <c r="L256" s="6">
        <v>16.433</v>
      </c>
      <c r="M256" s="6">
        <v>13.83</v>
      </c>
      <c r="N256" s="6">
        <v>72.478999999999999</v>
      </c>
      <c r="O256" s="6">
        <v>118.98</v>
      </c>
      <c r="P256" s="6">
        <v>105.983</v>
      </c>
      <c r="Q256" s="6">
        <v>138.292</v>
      </c>
    </row>
    <row r="257" spans="1:17" x14ac:dyDescent="0.35">
      <c r="A257" s="6" t="s">
        <v>211</v>
      </c>
      <c r="B257" s="6" t="s">
        <v>91</v>
      </c>
      <c r="C257" s="6">
        <v>53.6</v>
      </c>
      <c r="D257" s="6">
        <v>55.7</v>
      </c>
      <c r="E257" s="6">
        <v>39.799999999999997</v>
      </c>
      <c r="F257" s="6">
        <v>109.1</v>
      </c>
      <c r="G257" s="6">
        <v>23.7</v>
      </c>
      <c r="H257" s="6">
        <v>65.407774332497539</v>
      </c>
      <c r="I257" s="6">
        <v>169.73768305906199</v>
      </c>
      <c r="J257" s="6">
        <v>154.51657412252791</v>
      </c>
      <c r="K257" s="6">
        <v>33.797973524855699</v>
      </c>
      <c r="L257" s="6">
        <v>15.068</v>
      </c>
      <c r="M257" s="6">
        <v>57.13</v>
      </c>
      <c r="N257" s="6">
        <v>24.896000000000001</v>
      </c>
      <c r="O257" s="6">
        <v>41.917999999999999</v>
      </c>
      <c r="P257" s="6">
        <v>304.53300000000002</v>
      </c>
      <c r="Q257" s="6">
        <v>390.14400000000001</v>
      </c>
    </row>
    <row r="258" spans="1:17" x14ac:dyDescent="0.35">
      <c r="A258" s="6" t="s">
        <v>211</v>
      </c>
      <c r="B258" s="6" t="s">
        <v>211</v>
      </c>
      <c r="C258" s="6">
        <v>67.8</v>
      </c>
      <c r="D258" s="6">
        <v>106.6</v>
      </c>
      <c r="E258" s="6">
        <v>77.400000000000006</v>
      </c>
      <c r="F258" s="6">
        <v>52.6</v>
      </c>
      <c r="G258" s="6">
        <v>314.31812381411191</v>
      </c>
      <c r="H258" s="6">
        <v>1.707890141507352</v>
      </c>
      <c r="I258" s="6">
        <v>96.28205150594458</v>
      </c>
      <c r="J258" s="6">
        <v>109.5974387560118</v>
      </c>
      <c r="K258" s="6">
        <v>0</v>
      </c>
      <c r="L258" s="6">
        <v>660.86800000000005</v>
      </c>
      <c r="M258" s="6">
        <v>193.84800000000001</v>
      </c>
      <c r="N258" s="6">
        <v>128.26</v>
      </c>
      <c r="O258" s="6">
        <v>317.27499999999998</v>
      </c>
      <c r="P258" s="6">
        <v>338.113</v>
      </c>
      <c r="Q258" s="6">
        <v>578.90899999999999</v>
      </c>
    </row>
    <row r="259" spans="1:17" x14ac:dyDescent="0.35">
      <c r="A259" s="6" t="s">
        <v>211</v>
      </c>
      <c r="B259" s="6" t="s">
        <v>94</v>
      </c>
      <c r="C259" s="6">
        <v>1.3</v>
      </c>
      <c r="D259" s="6">
        <v>0</v>
      </c>
      <c r="E259" s="6">
        <v>0.6</v>
      </c>
      <c r="F259" s="6">
        <v>6.9</v>
      </c>
      <c r="G259" s="6">
        <v>4.3</v>
      </c>
      <c r="H259" s="6">
        <v>9.5510507289627853</v>
      </c>
      <c r="I259" s="6">
        <v>56.276454855884531</v>
      </c>
      <c r="J259" s="6">
        <v>35.118601137158628</v>
      </c>
      <c r="K259" s="6">
        <v>33.285883016903398</v>
      </c>
      <c r="L259" s="6">
        <v>7.1230000000000002</v>
      </c>
      <c r="M259" s="6">
        <v>4.4530000000000003</v>
      </c>
      <c r="N259" s="6">
        <v>7.3999999999999996E-2</v>
      </c>
      <c r="O259" s="6">
        <v>7.1680000000000001</v>
      </c>
      <c r="P259" s="6">
        <v>3.9660000000000002</v>
      </c>
      <c r="Q259" s="6">
        <v>6.7720000000000002</v>
      </c>
    </row>
    <row r="260" spans="1:17" x14ac:dyDescent="0.35">
      <c r="A260" s="6" t="s">
        <v>211</v>
      </c>
      <c r="B260" s="6" t="s">
        <v>212</v>
      </c>
      <c r="C260" s="6">
        <v>1.7</v>
      </c>
      <c r="D260" s="6">
        <v>10.3</v>
      </c>
      <c r="E260" s="6">
        <v>5</v>
      </c>
      <c r="F260" s="6">
        <v>0</v>
      </c>
      <c r="G260" s="6">
        <v>0</v>
      </c>
      <c r="H260" s="6">
        <v>1.6333494092037359</v>
      </c>
      <c r="I260" s="6">
        <v>28.35280055281055</v>
      </c>
      <c r="J260" s="6">
        <v>36.63192425603436</v>
      </c>
      <c r="K260" s="6">
        <v>1.3715119691245801</v>
      </c>
      <c r="L260" s="6">
        <v>27.652000000000001</v>
      </c>
      <c r="M260" s="6">
        <v>13.004</v>
      </c>
      <c r="N260" s="6">
        <v>17.902999999999999</v>
      </c>
      <c r="O260" s="6">
        <v>21.83</v>
      </c>
      <c r="P260" s="6">
        <v>6.806</v>
      </c>
      <c r="Q260" s="6">
        <v>86.168999999999997</v>
      </c>
    </row>
    <row r="261" spans="1:17" x14ac:dyDescent="0.35">
      <c r="A261" s="6" t="s">
        <v>94</v>
      </c>
      <c r="B261" s="6" t="s">
        <v>179</v>
      </c>
      <c r="C261" s="6">
        <v>170.9</v>
      </c>
      <c r="D261" s="6">
        <v>199.9</v>
      </c>
      <c r="E261" s="6">
        <v>204.5</v>
      </c>
      <c r="F261" s="6">
        <v>212.6</v>
      </c>
      <c r="G261" s="6">
        <v>207.2</v>
      </c>
      <c r="H261" s="6">
        <v>260.35885999999999</v>
      </c>
      <c r="I261" s="6">
        <v>224.46134500000011</v>
      </c>
      <c r="J261" s="6">
        <v>240.32062500000001</v>
      </c>
      <c r="K261" s="6">
        <v>107.2059404</v>
      </c>
      <c r="L261" s="6">
        <v>50.545000000000009</v>
      </c>
      <c r="M261" s="6">
        <v>4.2629999999999999</v>
      </c>
      <c r="N261" s="6">
        <v>108.871</v>
      </c>
      <c r="O261" s="6">
        <v>122.17</v>
      </c>
      <c r="P261" s="6">
        <v>238.251</v>
      </c>
      <c r="Q261" s="6">
        <v>379.21</v>
      </c>
    </row>
    <row r="262" spans="1:17" x14ac:dyDescent="0.35">
      <c r="A262" s="6" t="s">
        <v>94</v>
      </c>
      <c r="B262" s="6" t="s">
        <v>81</v>
      </c>
      <c r="C262" s="6">
        <v>1.7</v>
      </c>
      <c r="D262" s="6">
        <v>5.5</v>
      </c>
      <c r="E262" s="6">
        <v>11</v>
      </c>
      <c r="F262" s="6">
        <v>0.2</v>
      </c>
      <c r="G262" s="6">
        <v>2.9</v>
      </c>
      <c r="H262" s="6">
        <v>0.81787539320253866</v>
      </c>
      <c r="I262" s="6">
        <v>9.2801637344058392</v>
      </c>
      <c r="J262" s="6">
        <v>11.024384539105521</v>
      </c>
      <c r="K262" s="6">
        <v>1.4946980264835099</v>
      </c>
      <c r="L262" s="6">
        <v>4.7480000000000002</v>
      </c>
      <c r="M262" s="6">
        <v>0</v>
      </c>
      <c r="N262" s="6">
        <v>5.2869999999999999</v>
      </c>
      <c r="O262" s="6">
        <v>0.20100000000000001</v>
      </c>
      <c r="P262" s="6">
        <v>8.6999999999999994E-2</v>
      </c>
      <c r="Q262" s="6">
        <v>19.247</v>
      </c>
    </row>
    <row r="263" spans="1:17" x14ac:dyDescent="0.35">
      <c r="A263" s="6" t="s">
        <v>94</v>
      </c>
      <c r="B263" s="6" t="s">
        <v>82</v>
      </c>
      <c r="C263" s="6">
        <v>1.8</v>
      </c>
      <c r="D263" s="6">
        <v>0.4</v>
      </c>
      <c r="E263" s="6">
        <v>0</v>
      </c>
      <c r="F263" s="6">
        <v>1.4</v>
      </c>
      <c r="G263" s="6">
        <v>3.8</v>
      </c>
      <c r="H263" s="6">
        <v>3.8917237459887462</v>
      </c>
      <c r="I263" s="6">
        <v>0.83811118129016993</v>
      </c>
      <c r="J263" s="6">
        <v>1.005591279541556</v>
      </c>
      <c r="K263" s="6">
        <v>5.2764641175863796</v>
      </c>
      <c r="L263" s="6">
        <v>0</v>
      </c>
      <c r="M263" s="6">
        <v>1.81</v>
      </c>
      <c r="N263" s="6">
        <v>3.7309999999999999</v>
      </c>
      <c r="O263" s="6">
        <v>0.115</v>
      </c>
      <c r="P263" s="6">
        <v>1.83</v>
      </c>
      <c r="Q263" s="6">
        <v>12.186</v>
      </c>
    </row>
    <row r="264" spans="1:17" x14ac:dyDescent="0.35">
      <c r="A264" s="6" t="s">
        <v>94</v>
      </c>
      <c r="B264" s="6" t="s">
        <v>83</v>
      </c>
      <c r="C264" s="6">
        <v>0.1</v>
      </c>
      <c r="D264" s="6">
        <v>0</v>
      </c>
      <c r="E264" s="6">
        <v>3.4</v>
      </c>
      <c r="F264" s="6">
        <v>0</v>
      </c>
      <c r="G264" s="6">
        <v>0.6</v>
      </c>
      <c r="H264" s="6">
        <v>0.32715015728101549</v>
      </c>
      <c r="I264" s="6">
        <v>0.83811118129016993</v>
      </c>
      <c r="J264" s="6">
        <v>1.082896154007134</v>
      </c>
      <c r="K264" s="6">
        <v>0.701635357195458</v>
      </c>
      <c r="L264" s="6">
        <v>0</v>
      </c>
      <c r="M264" s="6">
        <v>0</v>
      </c>
      <c r="N264" s="6">
        <v>2.2189999999999999</v>
      </c>
      <c r="O264" s="6">
        <v>4.048</v>
      </c>
      <c r="P264" s="6">
        <v>1.9019999999999999</v>
      </c>
      <c r="Q264" s="6">
        <v>21.277999999999999</v>
      </c>
    </row>
    <row r="265" spans="1:17" x14ac:dyDescent="0.35">
      <c r="A265" s="6" t="s">
        <v>94</v>
      </c>
      <c r="B265" s="6" t="s">
        <v>84</v>
      </c>
      <c r="C265" s="6">
        <v>0</v>
      </c>
      <c r="D265" s="6">
        <v>0</v>
      </c>
      <c r="E265" s="6">
        <v>0</v>
      </c>
      <c r="F265" s="6">
        <v>0</v>
      </c>
      <c r="G265" s="6">
        <v>2.1</v>
      </c>
      <c r="H265" s="6">
        <v>2.1158326260699312</v>
      </c>
      <c r="I265" s="6">
        <v>2.455293639815705</v>
      </c>
      <c r="J265" s="6">
        <v>2.8193654432632189</v>
      </c>
      <c r="K265" s="6">
        <v>0.63583539773487696</v>
      </c>
      <c r="L265" s="6">
        <v>0</v>
      </c>
      <c r="M265" s="6">
        <v>0</v>
      </c>
      <c r="N265" s="6">
        <v>1.7490000000000001</v>
      </c>
      <c r="O265" s="6">
        <v>0.13400000000000001</v>
      </c>
      <c r="P265" s="6">
        <v>0.161</v>
      </c>
      <c r="Q265" s="6">
        <v>20.010000000000002</v>
      </c>
    </row>
    <row r="266" spans="1:17" x14ac:dyDescent="0.35">
      <c r="A266" s="6" t="s">
        <v>94</v>
      </c>
      <c r="B266" s="6" t="s">
        <v>85</v>
      </c>
      <c r="C266" s="6">
        <v>0.7</v>
      </c>
      <c r="D266" s="6">
        <v>0</v>
      </c>
      <c r="E266" s="6">
        <v>0</v>
      </c>
      <c r="F266" s="6">
        <v>0.2</v>
      </c>
      <c r="G266" s="6">
        <v>17.2</v>
      </c>
      <c r="H266" s="6">
        <v>0.63005305536308864</v>
      </c>
      <c r="I266" s="6">
        <v>2.4249908919449781</v>
      </c>
      <c r="J266" s="6">
        <v>2.9244210154898789</v>
      </c>
      <c r="K266" s="6">
        <v>0.59843331551517798</v>
      </c>
      <c r="L266" s="6">
        <v>0</v>
      </c>
      <c r="M266" s="6">
        <v>0</v>
      </c>
      <c r="N266" s="6">
        <v>1.2689999999999999</v>
      </c>
      <c r="O266" s="6">
        <v>6.3330000000000002</v>
      </c>
      <c r="P266" s="6">
        <v>1.3080000000000001</v>
      </c>
      <c r="Q266" s="6">
        <v>30.209</v>
      </c>
    </row>
    <row r="267" spans="1:17" x14ac:dyDescent="0.35">
      <c r="A267" s="6" t="s">
        <v>94</v>
      </c>
      <c r="B267" s="6" t="s">
        <v>86</v>
      </c>
      <c r="C267" s="6">
        <v>0</v>
      </c>
      <c r="D267" s="6">
        <v>0.3</v>
      </c>
      <c r="E267" s="6">
        <v>0</v>
      </c>
      <c r="F267" s="6">
        <v>0.2</v>
      </c>
      <c r="G267" s="6">
        <v>7.3</v>
      </c>
      <c r="H267" s="6">
        <v>5.1324757812992097</v>
      </c>
      <c r="I267" s="6">
        <v>1.3900073941697471</v>
      </c>
      <c r="J267" s="6">
        <v>1.5642321711261189</v>
      </c>
      <c r="K267" s="6">
        <v>0.72033639830530705</v>
      </c>
      <c r="L267" s="6">
        <v>0</v>
      </c>
      <c r="M267" s="6">
        <v>0</v>
      </c>
      <c r="N267" s="6">
        <v>0.249</v>
      </c>
      <c r="O267" s="6">
        <v>1.1180000000000001</v>
      </c>
      <c r="P267" s="6">
        <v>20.986999999999998</v>
      </c>
      <c r="Q267" s="6">
        <v>5.7080000000000002</v>
      </c>
    </row>
    <row r="268" spans="1:17" x14ac:dyDescent="0.35">
      <c r="A268" s="6" t="s">
        <v>94</v>
      </c>
      <c r="B268" s="6" t="s">
        <v>89</v>
      </c>
      <c r="C268" s="6">
        <v>0.7</v>
      </c>
      <c r="D268" s="6">
        <v>0.2</v>
      </c>
      <c r="E268" s="6">
        <v>0</v>
      </c>
      <c r="F268" s="6">
        <v>1.9</v>
      </c>
      <c r="G268" s="6">
        <v>3.6</v>
      </c>
      <c r="H268" s="6">
        <v>0.32132510154866789</v>
      </c>
      <c r="I268" s="6">
        <v>6.8572211861879353</v>
      </c>
      <c r="J268" s="6">
        <v>7.6994177880688834</v>
      </c>
      <c r="K268" s="6">
        <v>1.4669927803948499</v>
      </c>
      <c r="L268" s="6">
        <v>0</v>
      </c>
      <c r="M268" s="6">
        <v>0</v>
      </c>
      <c r="N268" s="6">
        <v>1.55</v>
      </c>
      <c r="O268" s="6">
        <v>6.6000000000000003E-2</v>
      </c>
      <c r="P268" s="6">
        <v>0.498</v>
      </c>
      <c r="Q268" s="6">
        <v>10.798</v>
      </c>
    </row>
    <row r="269" spans="1:17" x14ac:dyDescent="0.35">
      <c r="A269" s="6" t="s">
        <v>94</v>
      </c>
      <c r="B269" s="6" t="s">
        <v>87</v>
      </c>
      <c r="C269" s="6">
        <v>0.2</v>
      </c>
      <c r="D269" s="6">
        <v>3.4</v>
      </c>
      <c r="E269" s="6">
        <v>0.2</v>
      </c>
      <c r="F269" s="6">
        <v>0.4</v>
      </c>
      <c r="G269" s="6">
        <v>0.1</v>
      </c>
      <c r="H269" s="6">
        <v>3.9930375491373611</v>
      </c>
      <c r="I269" s="6">
        <v>5.3117198626646047</v>
      </c>
      <c r="J269" s="6">
        <v>6.2709789515855352</v>
      </c>
      <c r="K269" s="6">
        <v>0.46960392120288302</v>
      </c>
      <c r="L269" s="6">
        <v>0</v>
      </c>
      <c r="M269" s="6">
        <v>0</v>
      </c>
      <c r="N269" s="6">
        <v>0.43099999999999999</v>
      </c>
      <c r="O269" s="6">
        <v>8.1120000000000001</v>
      </c>
      <c r="P269" s="6">
        <v>1.1639999999999999</v>
      </c>
      <c r="Q269" s="6">
        <v>3.7320000000000002</v>
      </c>
    </row>
    <row r="270" spans="1:17" x14ac:dyDescent="0.35">
      <c r="A270" s="6" t="s">
        <v>94</v>
      </c>
      <c r="B270" s="6" t="s">
        <v>88</v>
      </c>
      <c r="C270" s="6">
        <v>0.6</v>
      </c>
      <c r="D270" s="6">
        <v>0</v>
      </c>
      <c r="E270" s="6">
        <v>0</v>
      </c>
      <c r="F270" s="6">
        <v>0.4</v>
      </c>
      <c r="G270" s="6">
        <v>3.6</v>
      </c>
      <c r="H270" s="6">
        <v>0.31402225833165281</v>
      </c>
      <c r="I270" s="6">
        <v>2.000617485854606</v>
      </c>
      <c r="J270" s="6">
        <v>0.29221007330351229</v>
      </c>
      <c r="K270" s="6">
        <v>0.10250941052806301</v>
      </c>
      <c r="L270" s="6">
        <v>0</v>
      </c>
      <c r="M270" s="6">
        <v>0</v>
      </c>
      <c r="N270" s="6">
        <v>5.2999999999999999E-2</v>
      </c>
      <c r="O270" s="6">
        <v>0.76200000000000001</v>
      </c>
      <c r="P270" s="6">
        <v>0.64200000000000002</v>
      </c>
      <c r="Q270" s="6">
        <v>5.1479999999999997</v>
      </c>
    </row>
    <row r="271" spans="1:17" x14ac:dyDescent="0.35">
      <c r="A271" s="6" t="s">
        <v>94</v>
      </c>
      <c r="B271" s="6" t="s">
        <v>92</v>
      </c>
      <c r="C271" s="6">
        <v>0.5</v>
      </c>
      <c r="D271" s="6">
        <v>0.5</v>
      </c>
      <c r="E271" s="6">
        <v>0.2</v>
      </c>
      <c r="F271" s="6">
        <v>0.2</v>
      </c>
      <c r="G271" s="6">
        <v>2.1</v>
      </c>
      <c r="H271" s="6">
        <v>4.4879266139465006</v>
      </c>
      <c r="I271" s="6">
        <v>3.0059905155948559</v>
      </c>
      <c r="J271" s="6">
        <v>4.3575622113467416</v>
      </c>
      <c r="K271" s="6">
        <v>6.5418319695709597</v>
      </c>
      <c r="L271" s="6">
        <v>9.4450000000000003</v>
      </c>
      <c r="M271" s="6">
        <v>0</v>
      </c>
      <c r="N271" s="6">
        <v>10.987</v>
      </c>
      <c r="O271" s="6">
        <v>3.0550000000000002</v>
      </c>
      <c r="P271" s="6">
        <v>3.53</v>
      </c>
      <c r="Q271" s="6">
        <v>21.329000000000001</v>
      </c>
    </row>
    <row r="272" spans="1:17" x14ac:dyDescent="0.35">
      <c r="A272" s="6" t="s">
        <v>94</v>
      </c>
      <c r="B272" s="6" t="s">
        <v>93</v>
      </c>
      <c r="C272" s="6">
        <v>4.9000000000000004</v>
      </c>
      <c r="D272" s="6">
        <v>0.1</v>
      </c>
      <c r="E272" s="6">
        <v>0.9</v>
      </c>
      <c r="F272" s="6">
        <v>0</v>
      </c>
      <c r="G272" s="6">
        <v>0.6</v>
      </c>
      <c r="H272" s="6">
        <v>0.31402225833165281</v>
      </c>
      <c r="I272" s="6">
        <v>1.526456923150874</v>
      </c>
      <c r="J272" s="6">
        <v>1.61009462694899</v>
      </c>
      <c r="K272" s="6">
        <v>1.5147843298978001</v>
      </c>
      <c r="L272" s="6">
        <v>0</v>
      </c>
      <c r="M272" s="6">
        <v>0</v>
      </c>
      <c r="N272" s="6">
        <v>1.948</v>
      </c>
      <c r="O272" s="6">
        <v>2.5110000000000001</v>
      </c>
      <c r="P272" s="6">
        <v>1.782</v>
      </c>
      <c r="Q272" s="6">
        <v>5.35</v>
      </c>
    </row>
    <row r="273" spans="1:17" x14ac:dyDescent="0.35">
      <c r="A273" s="6" t="s">
        <v>94</v>
      </c>
      <c r="B273" s="6" t="s">
        <v>90</v>
      </c>
      <c r="C273" s="6">
        <v>131.30000000000001</v>
      </c>
      <c r="D273" s="6">
        <v>158.80000000000001</v>
      </c>
      <c r="E273" s="6">
        <v>157.80000000000001</v>
      </c>
      <c r="F273" s="6">
        <v>185.5</v>
      </c>
      <c r="G273" s="6">
        <v>145.80000000000001</v>
      </c>
      <c r="H273" s="6">
        <v>178.95680210766909</v>
      </c>
      <c r="I273" s="6">
        <v>137.35291477555</v>
      </c>
      <c r="J273" s="6">
        <v>145.98566170752451</v>
      </c>
      <c r="K273" s="6">
        <v>61.267601595707902</v>
      </c>
      <c r="L273" s="6">
        <v>33.520000000000003</v>
      </c>
      <c r="M273" s="6">
        <v>2.4529999999999998</v>
      </c>
      <c r="N273" s="6">
        <v>70.543999999999997</v>
      </c>
      <c r="O273" s="6">
        <v>75.081999999999994</v>
      </c>
      <c r="P273" s="6">
        <v>151.34899999999999</v>
      </c>
      <c r="Q273" s="6">
        <v>188.74600000000001</v>
      </c>
    </row>
    <row r="274" spans="1:17" x14ac:dyDescent="0.35">
      <c r="A274" s="6" t="s">
        <v>94</v>
      </c>
      <c r="B274" s="6" t="s">
        <v>91</v>
      </c>
      <c r="C274" s="6">
        <v>20.399999999999999</v>
      </c>
      <c r="D274" s="6">
        <v>21.3</v>
      </c>
      <c r="E274" s="6">
        <v>19.7</v>
      </c>
      <c r="F274" s="6">
        <v>16.100000000000001</v>
      </c>
      <c r="G274" s="6">
        <v>5.4</v>
      </c>
      <c r="H274" s="6">
        <v>1.636638143736155</v>
      </c>
      <c r="I274" s="6">
        <v>17.06125666662064</v>
      </c>
      <c r="J274" s="6">
        <v>18.581010271141029</v>
      </c>
      <c r="K274" s="6">
        <v>4.19337406656342</v>
      </c>
      <c r="L274" s="6">
        <v>0</v>
      </c>
      <c r="M274" s="6">
        <v>0</v>
      </c>
      <c r="N274" s="6">
        <v>4.5199999999999996</v>
      </c>
      <c r="O274" s="6">
        <v>0.44</v>
      </c>
      <c r="P274" s="6">
        <v>16.186</v>
      </c>
      <c r="Q274" s="6">
        <v>11.257</v>
      </c>
    </row>
    <row r="275" spans="1:17" x14ac:dyDescent="0.35">
      <c r="A275" s="6" t="s">
        <v>94</v>
      </c>
      <c r="B275" s="6" t="s">
        <v>211</v>
      </c>
      <c r="C275" s="6">
        <v>6.7</v>
      </c>
      <c r="D275" s="6">
        <v>7.2</v>
      </c>
      <c r="E275" s="6">
        <v>8.9</v>
      </c>
      <c r="F275" s="6">
        <v>3.4</v>
      </c>
      <c r="G275" s="6">
        <v>11.9</v>
      </c>
      <c r="H275" s="6">
        <v>55.526814484902907</v>
      </c>
      <c r="I275" s="6">
        <v>8.0412342617754593</v>
      </c>
      <c r="J275" s="6">
        <v>7.8566737354181564</v>
      </c>
      <c r="K275" s="6">
        <v>2.4181298091352401</v>
      </c>
      <c r="L275" s="6">
        <v>0</v>
      </c>
      <c r="M275" s="6">
        <v>0</v>
      </c>
      <c r="N275" s="6">
        <v>3.22</v>
      </c>
      <c r="O275" s="6">
        <v>6.8390000000000004</v>
      </c>
      <c r="P275" s="6">
        <v>13.709</v>
      </c>
      <c r="Q275" s="6">
        <v>19.928000000000001</v>
      </c>
    </row>
    <row r="276" spans="1:17" x14ac:dyDescent="0.35">
      <c r="A276" s="6" t="s">
        <v>94</v>
      </c>
      <c r="B276" s="6" t="s">
        <v>94</v>
      </c>
      <c r="C276" s="6">
        <v>0</v>
      </c>
      <c r="D276" s="6">
        <v>2.2000000000000002</v>
      </c>
      <c r="E276" s="6">
        <v>2</v>
      </c>
      <c r="F276" s="6">
        <v>1.8</v>
      </c>
      <c r="G276" s="6">
        <v>0</v>
      </c>
      <c r="H276" s="6">
        <v>1.181024668845573</v>
      </c>
      <c r="I276" s="6">
        <v>20.72250345652769</v>
      </c>
      <c r="J276" s="6">
        <v>21.241832050159989</v>
      </c>
      <c r="K276" s="6">
        <v>4.5076435386259002</v>
      </c>
      <c r="L276" s="6">
        <v>1.1910000000000001</v>
      </c>
      <c r="M276" s="6">
        <v>0</v>
      </c>
      <c r="N276" s="6">
        <v>0.98599999999999999</v>
      </c>
      <c r="O276" s="6">
        <v>5.9720000000000004</v>
      </c>
      <c r="P276" s="6">
        <v>15.209</v>
      </c>
      <c r="Q276" s="6">
        <v>2.754</v>
      </c>
    </row>
    <row r="277" spans="1:17" x14ac:dyDescent="0.35">
      <c r="A277" s="6" t="s">
        <v>94</v>
      </c>
      <c r="B277" s="6" t="s">
        <v>212</v>
      </c>
      <c r="C277" s="6">
        <v>1.2</v>
      </c>
      <c r="D277" s="6">
        <v>0</v>
      </c>
      <c r="E277" s="6">
        <v>0.4</v>
      </c>
      <c r="F277" s="6">
        <v>0.8</v>
      </c>
      <c r="G277" s="6">
        <v>0.2</v>
      </c>
      <c r="H277" s="6">
        <v>0.71213605434595084</v>
      </c>
      <c r="I277" s="6">
        <v>5.3547518431567669</v>
      </c>
      <c r="J277" s="6">
        <v>6.0042929819692539</v>
      </c>
      <c r="K277" s="6">
        <v>15.296066365552299</v>
      </c>
      <c r="L277" s="6">
        <v>1.641</v>
      </c>
      <c r="M277" s="6">
        <v>0</v>
      </c>
      <c r="N277" s="6">
        <v>0.128</v>
      </c>
      <c r="O277" s="6">
        <v>7.3819999999999997</v>
      </c>
      <c r="P277" s="6">
        <v>7.907</v>
      </c>
      <c r="Q277" s="6">
        <v>1.53</v>
      </c>
    </row>
    <row r="278" spans="1:17" x14ac:dyDescent="0.35">
      <c r="A278" s="6" t="s">
        <v>212</v>
      </c>
      <c r="B278" s="6" t="s">
        <v>179</v>
      </c>
      <c r="C278" s="6">
        <v>420.3</v>
      </c>
      <c r="D278" s="6">
        <v>281.89999999999998</v>
      </c>
      <c r="E278" s="6">
        <v>420.4</v>
      </c>
      <c r="F278" s="6">
        <v>426.2</v>
      </c>
      <c r="G278" s="6">
        <v>419.2</v>
      </c>
      <c r="H278" s="6">
        <v>429.04864800000041</v>
      </c>
      <c r="I278" s="6">
        <v>371.85009700000001</v>
      </c>
      <c r="J278" s="6">
        <v>428.11883900000038</v>
      </c>
      <c r="K278" s="6">
        <v>447.60349230000003</v>
      </c>
      <c r="L278" s="6">
        <v>203.31700000000001</v>
      </c>
      <c r="M278" s="6">
        <v>75.917999999999978</v>
      </c>
      <c r="N278" s="6">
        <v>195.72800000000001</v>
      </c>
      <c r="O278" s="6">
        <v>334.779</v>
      </c>
      <c r="P278" s="6">
        <v>539.92899999999997</v>
      </c>
      <c r="Q278" s="6">
        <v>471.11599999999999</v>
      </c>
    </row>
    <row r="279" spans="1:17" x14ac:dyDescent="0.35">
      <c r="A279" s="6" t="s">
        <v>212</v>
      </c>
      <c r="B279" s="6" t="s">
        <v>81</v>
      </c>
      <c r="C279" s="6">
        <v>60.6</v>
      </c>
      <c r="D279" s="6">
        <v>30.5</v>
      </c>
      <c r="E279" s="6">
        <v>41</v>
      </c>
      <c r="F279" s="6">
        <v>24.7</v>
      </c>
      <c r="G279" s="6">
        <v>49</v>
      </c>
      <c r="H279" s="6">
        <v>30.089720182985118</v>
      </c>
      <c r="I279" s="6">
        <v>60.678131016840773</v>
      </c>
      <c r="J279" s="6">
        <v>59.017542000000063</v>
      </c>
      <c r="K279" s="6">
        <v>36.308802917126201</v>
      </c>
      <c r="L279" s="6">
        <v>32.579000000000001</v>
      </c>
      <c r="M279" s="6">
        <v>2.8639999999999999</v>
      </c>
      <c r="N279" s="6">
        <v>25.19</v>
      </c>
      <c r="O279" s="6">
        <v>33.771000000000001</v>
      </c>
      <c r="P279" s="6">
        <v>28.390999999999998</v>
      </c>
      <c r="Q279" s="6">
        <v>90.692999999999998</v>
      </c>
    </row>
    <row r="280" spans="1:17" x14ac:dyDescent="0.35">
      <c r="A280" s="6" t="s">
        <v>212</v>
      </c>
      <c r="B280" s="6" t="s">
        <v>82</v>
      </c>
      <c r="C280" s="6">
        <v>45</v>
      </c>
      <c r="D280" s="6">
        <v>34.200000000000003</v>
      </c>
      <c r="E280" s="6">
        <v>119.8</v>
      </c>
      <c r="F280" s="6">
        <v>51.4</v>
      </c>
      <c r="G280" s="6">
        <v>47.3</v>
      </c>
      <c r="H280" s="6">
        <v>49.918777446191733</v>
      </c>
      <c r="I280" s="6">
        <v>49.746612325521603</v>
      </c>
      <c r="J280" s="6">
        <v>54.264221000000013</v>
      </c>
      <c r="K280" s="6">
        <v>31.2726562625075</v>
      </c>
      <c r="L280" s="6">
        <v>12.804</v>
      </c>
      <c r="M280" s="6">
        <v>4.2619999999999996</v>
      </c>
      <c r="N280" s="6">
        <v>7.2450000000000001</v>
      </c>
      <c r="O280" s="6">
        <v>27.378</v>
      </c>
      <c r="P280" s="6">
        <v>26.077000000000002</v>
      </c>
      <c r="Q280" s="6">
        <v>35.052</v>
      </c>
    </row>
    <row r="281" spans="1:17" x14ac:dyDescent="0.35">
      <c r="A281" s="6" t="s">
        <v>212</v>
      </c>
      <c r="B281" s="6" t="s">
        <v>83</v>
      </c>
      <c r="C281" s="6">
        <v>44.6</v>
      </c>
      <c r="D281" s="6">
        <v>39.799999999999997</v>
      </c>
      <c r="E281" s="6">
        <v>41.9</v>
      </c>
      <c r="F281" s="6">
        <v>24.5</v>
      </c>
      <c r="G281" s="6">
        <v>35</v>
      </c>
      <c r="H281" s="6">
        <v>24.102532656553372</v>
      </c>
      <c r="I281" s="6">
        <v>25.94051551536969</v>
      </c>
      <c r="J281" s="6">
        <v>30.36306800000002</v>
      </c>
      <c r="K281" s="6">
        <v>30.350348926720901</v>
      </c>
      <c r="L281" s="6">
        <v>12.006</v>
      </c>
      <c r="M281" s="6">
        <v>9.2490000000000006</v>
      </c>
      <c r="N281" s="6">
        <v>6.6550000000000002</v>
      </c>
      <c r="O281" s="6">
        <v>25.469000000000001</v>
      </c>
      <c r="P281" s="6">
        <v>52.128999999999998</v>
      </c>
      <c r="Q281" s="6">
        <v>71.385000000000005</v>
      </c>
    </row>
    <row r="282" spans="1:17" x14ac:dyDescent="0.35">
      <c r="A282" s="6" t="s">
        <v>212</v>
      </c>
      <c r="B282" s="6" t="s">
        <v>84</v>
      </c>
      <c r="C282" s="6">
        <v>44.3</v>
      </c>
      <c r="D282" s="6">
        <v>25.8</v>
      </c>
      <c r="E282" s="6">
        <v>29.2</v>
      </c>
      <c r="F282" s="6">
        <v>44.3</v>
      </c>
      <c r="G282" s="6">
        <v>48.7</v>
      </c>
      <c r="H282" s="6">
        <v>61.019061744830843</v>
      </c>
      <c r="I282" s="6">
        <v>34.023302824800538</v>
      </c>
      <c r="J282" s="6">
        <v>58.024618000000054</v>
      </c>
      <c r="K282" s="6">
        <v>57.370681131194999</v>
      </c>
      <c r="L282" s="6">
        <v>27.678999999999998</v>
      </c>
      <c r="M282" s="6">
        <v>5.4969999999999999</v>
      </c>
      <c r="N282" s="6">
        <v>16.152000000000001</v>
      </c>
      <c r="O282" s="6">
        <v>34.911999999999999</v>
      </c>
      <c r="P282" s="6">
        <v>80.822000000000003</v>
      </c>
      <c r="Q282" s="6">
        <v>19.149999999999999</v>
      </c>
    </row>
    <row r="283" spans="1:17" x14ac:dyDescent="0.35">
      <c r="A283" s="6" t="s">
        <v>212</v>
      </c>
      <c r="B283" s="6" t="s">
        <v>85</v>
      </c>
      <c r="C283" s="6">
        <v>51.1</v>
      </c>
      <c r="D283" s="6">
        <v>21.4</v>
      </c>
      <c r="E283" s="6">
        <v>11</v>
      </c>
      <c r="F283" s="6">
        <v>48.6</v>
      </c>
      <c r="G283" s="6">
        <v>30.6</v>
      </c>
      <c r="H283" s="6">
        <v>93.112757862708989</v>
      </c>
      <c r="I283" s="6">
        <v>37.34528717309955</v>
      </c>
      <c r="J283" s="6">
        <v>42.881602000000029</v>
      </c>
      <c r="K283" s="6">
        <v>66.453018301985296</v>
      </c>
      <c r="L283" s="6">
        <v>13.048999999999999</v>
      </c>
      <c r="M283" s="6">
        <v>7.2309999999999999</v>
      </c>
      <c r="N283" s="6">
        <v>18.004999999999999</v>
      </c>
      <c r="O283" s="6">
        <v>17.001999999999999</v>
      </c>
      <c r="P283" s="6">
        <v>73.058999999999997</v>
      </c>
      <c r="Q283" s="6">
        <v>78.057000000000002</v>
      </c>
    </row>
    <row r="284" spans="1:17" x14ac:dyDescent="0.35">
      <c r="A284" s="6" t="s">
        <v>212</v>
      </c>
      <c r="B284" s="6" t="s">
        <v>86</v>
      </c>
      <c r="C284" s="6">
        <v>38</v>
      </c>
      <c r="D284" s="6">
        <v>31.8</v>
      </c>
      <c r="E284" s="6">
        <v>21.4</v>
      </c>
      <c r="F284" s="6">
        <v>35.9</v>
      </c>
      <c r="G284" s="6">
        <v>41.3</v>
      </c>
      <c r="H284" s="6">
        <v>22.149092652979899</v>
      </c>
      <c r="I284" s="6">
        <v>35.362071055003391</v>
      </c>
      <c r="J284" s="6">
        <v>48.082864000000043</v>
      </c>
      <c r="K284" s="6">
        <v>60.223477925978202</v>
      </c>
      <c r="L284" s="6">
        <v>39.630000000000003</v>
      </c>
      <c r="M284" s="6">
        <v>11.198</v>
      </c>
      <c r="N284" s="6">
        <v>25.544</v>
      </c>
      <c r="O284" s="6">
        <v>30.103000000000002</v>
      </c>
      <c r="P284" s="6">
        <v>44.218000000000004</v>
      </c>
      <c r="Q284" s="6">
        <v>38.546999999999997</v>
      </c>
    </row>
    <row r="285" spans="1:17" x14ac:dyDescent="0.35">
      <c r="A285" s="6" t="s">
        <v>212</v>
      </c>
      <c r="B285" s="6" t="s">
        <v>89</v>
      </c>
      <c r="C285" s="6">
        <v>19.8</v>
      </c>
      <c r="D285" s="6">
        <v>9</v>
      </c>
      <c r="E285" s="6">
        <v>5.9</v>
      </c>
      <c r="F285" s="6">
        <v>17.7</v>
      </c>
      <c r="G285" s="6">
        <v>26.6</v>
      </c>
      <c r="H285" s="6">
        <v>1.0019645229422931</v>
      </c>
      <c r="I285" s="6">
        <v>7.8256508834856033</v>
      </c>
      <c r="J285" s="6">
        <v>8.6610200000000059</v>
      </c>
      <c r="K285" s="6">
        <v>16.190641488580098</v>
      </c>
      <c r="L285" s="6">
        <v>15.449</v>
      </c>
      <c r="M285" s="6">
        <v>4.5609999999999999</v>
      </c>
      <c r="N285" s="6">
        <v>6.71</v>
      </c>
      <c r="O285" s="6">
        <v>7.8280000000000003</v>
      </c>
      <c r="P285" s="6">
        <v>25.344000000000001</v>
      </c>
      <c r="Q285" s="6">
        <v>4.5919999999999996</v>
      </c>
    </row>
    <row r="286" spans="1:17" x14ac:dyDescent="0.35">
      <c r="A286" s="6" t="s">
        <v>212</v>
      </c>
      <c r="B286" s="6" t="s">
        <v>87</v>
      </c>
      <c r="C286" s="6">
        <v>32.299999999999997</v>
      </c>
      <c r="D286" s="6">
        <v>55.9</v>
      </c>
      <c r="E286" s="6">
        <v>33.1</v>
      </c>
      <c r="F286" s="6">
        <v>92.3</v>
      </c>
      <c r="G286" s="6">
        <v>63.1</v>
      </c>
      <c r="H286" s="6">
        <v>104.6018167928104</v>
      </c>
      <c r="I286" s="6">
        <v>43.981381434031547</v>
      </c>
      <c r="J286" s="6">
        <v>44.84144100000001</v>
      </c>
      <c r="K286" s="6">
        <v>58.682490669040803</v>
      </c>
      <c r="L286" s="6">
        <v>21.175000000000001</v>
      </c>
      <c r="M286" s="6">
        <v>7.649</v>
      </c>
      <c r="N286" s="6">
        <v>30.672999999999998</v>
      </c>
      <c r="O286" s="6">
        <v>48.158999999999999</v>
      </c>
      <c r="P286" s="6">
        <v>76.048000000000002</v>
      </c>
      <c r="Q286" s="6">
        <v>46.412999999999997</v>
      </c>
    </row>
    <row r="287" spans="1:17" x14ac:dyDescent="0.35">
      <c r="A287" s="6" t="s">
        <v>212</v>
      </c>
      <c r="B287" s="6" t="s">
        <v>88</v>
      </c>
      <c r="C287" s="6">
        <v>12.7</v>
      </c>
      <c r="D287" s="6">
        <v>11.2</v>
      </c>
      <c r="E287" s="6">
        <v>0</v>
      </c>
      <c r="F287" s="6">
        <v>0.8</v>
      </c>
      <c r="G287" s="6">
        <v>3.9</v>
      </c>
      <c r="H287" s="6">
        <v>1.7135230885112751</v>
      </c>
      <c r="I287" s="6">
        <v>7.8147386806121792</v>
      </c>
      <c r="J287" s="6">
        <v>6.3588020000000043</v>
      </c>
      <c r="K287" s="6">
        <v>7.14752757348825</v>
      </c>
      <c r="L287" s="6">
        <v>1.6180000000000001</v>
      </c>
      <c r="M287" s="6">
        <v>3.855</v>
      </c>
      <c r="N287" s="6">
        <v>2.7389999999999999</v>
      </c>
      <c r="O287" s="6">
        <v>3.1829999999999998</v>
      </c>
      <c r="P287" s="6">
        <v>1.3540000000000001</v>
      </c>
      <c r="Q287" s="6">
        <v>5.6340000000000003</v>
      </c>
    </row>
    <row r="288" spans="1:17" x14ac:dyDescent="0.35">
      <c r="A288" s="6" t="s">
        <v>212</v>
      </c>
      <c r="B288" s="6" t="s">
        <v>92</v>
      </c>
      <c r="C288" s="6">
        <v>36.5</v>
      </c>
      <c r="D288" s="6">
        <v>6.1</v>
      </c>
      <c r="E288" s="6">
        <v>106.1</v>
      </c>
      <c r="F288" s="6">
        <v>58.1</v>
      </c>
      <c r="G288" s="6">
        <v>37.799999999999997</v>
      </c>
      <c r="H288" s="6">
        <v>16.772176735455169</v>
      </c>
      <c r="I288" s="6">
        <v>35.577777982876867</v>
      </c>
      <c r="J288" s="6">
        <v>33.650945000000029</v>
      </c>
      <c r="K288" s="6">
        <v>38.607271392320598</v>
      </c>
      <c r="L288" s="6">
        <v>7.2619999999999996</v>
      </c>
      <c r="M288" s="6">
        <v>0.77300000000000002</v>
      </c>
      <c r="N288" s="6">
        <v>8.2430000000000003</v>
      </c>
      <c r="O288" s="6">
        <v>24.407</v>
      </c>
      <c r="P288" s="6">
        <v>55.887</v>
      </c>
      <c r="Q288" s="6">
        <v>29.555</v>
      </c>
    </row>
    <row r="289" spans="1:17" x14ac:dyDescent="0.35">
      <c r="A289" s="6" t="s">
        <v>212</v>
      </c>
      <c r="B289" s="6" t="s">
        <v>93</v>
      </c>
      <c r="C289" s="6">
        <v>21.8</v>
      </c>
      <c r="D289" s="6">
        <v>16.3</v>
      </c>
      <c r="E289" s="6">
        <v>9.1999999999999993</v>
      </c>
      <c r="F289" s="6">
        <v>24.5</v>
      </c>
      <c r="G289" s="6">
        <v>22.8</v>
      </c>
      <c r="H289" s="6">
        <v>11.713970618192571</v>
      </c>
      <c r="I289" s="6">
        <v>18.031194124541461</v>
      </c>
      <c r="J289" s="6">
        <v>13.67614100000001</v>
      </c>
      <c r="K289" s="6">
        <v>22.116612005934101</v>
      </c>
      <c r="L289" s="6">
        <v>10.834</v>
      </c>
      <c r="M289" s="6">
        <v>14.301</v>
      </c>
      <c r="N289" s="6">
        <v>20.456</v>
      </c>
      <c r="O289" s="6">
        <v>6.81</v>
      </c>
      <c r="P289" s="6">
        <v>28.707999999999998</v>
      </c>
      <c r="Q289" s="6">
        <v>14.576000000000001</v>
      </c>
    </row>
    <row r="290" spans="1:17" x14ac:dyDescent="0.35">
      <c r="A290" s="6" t="s">
        <v>212</v>
      </c>
      <c r="B290" s="6" t="s">
        <v>90</v>
      </c>
      <c r="C290" s="6">
        <v>5.4</v>
      </c>
      <c r="D290" s="6">
        <v>0</v>
      </c>
      <c r="E290" s="6">
        <v>0</v>
      </c>
      <c r="F290" s="6">
        <v>0.5</v>
      </c>
      <c r="G290" s="6">
        <v>4.0999999999999996</v>
      </c>
      <c r="H290" s="6">
        <v>1.2304732678238319</v>
      </c>
      <c r="I290" s="6">
        <v>4.5492800986043971</v>
      </c>
      <c r="J290" s="6">
        <v>12.399922000000011</v>
      </c>
      <c r="K290" s="6">
        <v>6.4648682155563</v>
      </c>
      <c r="L290" s="6">
        <v>2.9750000000000001</v>
      </c>
      <c r="M290" s="6">
        <v>0.72199999999999998</v>
      </c>
      <c r="N290" s="6">
        <v>3.6219999999999999</v>
      </c>
      <c r="O290" s="6">
        <v>8.2899999999999991</v>
      </c>
      <c r="P290" s="6">
        <v>3.43</v>
      </c>
      <c r="Q290" s="6">
        <v>1.5329999999999999</v>
      </c>
    </row>
    <row r="291" spans="1:17" x14ac:dyDescent="0.35">
      <c r="A291" s="6" t="s">
        <v>212</v>
      </c>
      <c r="B291" s="6" t="s">
        <v>91</v>
      </c>
      <c r="C291" s="6">
        <v>5</v>
      </c>
      <c r="D291" s="6">
        <v>0</v>
      </c>
      <c r="E291" s="6">
        <v>0.7</v>
      </c>
      <c r="F291" s="6">
        <v>0.2</v>
      </c>
      <c r="G291" s="6">
        <v>2.6</v>
      </c>
      <c r="H291" s="6">
        <v>6.7216026229406989</v>
      </c>
      <c r="I291" s="6">
        <v>3.4229727514785142</v>
      </c>
      <c r="J291" s="6">
        <v>3.7331400000000028</v>
      </c>
      <c r="K291" s="6">
        <v>3.7227943412675599</v>
      </c>
      <c r="L291" s="6">
        <v>1.1970000000000001</v>
      </c>
      <c r="M291" s="6">
        <v>0.38</v>
      </c>
      <c r="N291" s="6">
        <v>0.377</v>
      </c>
      <c r="O291" s="6">
        <v>7.1379999999999999</v>
      </c>
      <c r="P291" s="6">
        <v>15.321</v>
      </c>
      <c r="Q291" s="6">
        <v>3.2120000000000002</v>
      </c>
    </row>
    <row r="292" spans="1:17" x14ac:dyDescent="0.35">
      <c r="A292" s="6" t="s">
        <v>212</v>
      </c>
      <c r="B292" s="6" t="s">
        <v>211</v>
      </c>
      <c r="C292" s="6">
        <v>0.7</v>
      </c>
      <c r="D292" s="6">
        <v>0</v>
      </c>
      <c r="E292" s="6">
        <v>1.1000000000000001</v>
      </c>
      <c r="F292" s="6">
        <v>2.4</v>
      </c>
      <c r="G292" s="6">
        <v>4</v>
      </c>
      <c r="H292" s="6">
        <v>3.610555614930425</v>
      </c>
      <c r="I292" s="6">
        <v>6.1711878260560589</v>
      </c>
      <c r="J292" s="6">
        <v>8.4039260000000073</v>
      </c>
      <c r="K292" s="6">
        <v>10.2215214114864</v>
      </c>
      <c r="L292" s="6">
        <v>1.484</v>
      </c>
      <c r="M292" s="6">
        <v>2.3439999999999999</v>
      </c>
      <c r="N292" s="6">
        <v>23.768000000000001</v>
      </c>
      <c r="O292" s="6">
        <v>23.024000000000001</v>
      </c>
      <c r="P292" s="6">
        <v>13.175000000000001</v>
      </c>
      <c r="Q292" s="6">
        <v>27.634</v>
      </c>
    </row>
    <row r="293" spans="1:17" x14ac:dyDescent="0.35">
      <c r="A293" s="6" t="s">
        <v>212</v>
      </c>
      <c r="B293" s="6" t="s">
        <v>94</v>
      </c>
      <c r="C293" s="6">
        <v>2.4</v>
      </c>
      <c r="D293" s="6">
        <v>0</v>
      </c>
      <c r="E293" s="6">
        <v>0</v>
      </c>
      <c r="F293" s="6">
        <v>0.2</v>
      </c>
      <c r="G293" s="6">
        <v>2.2999999999999998</v>
      </c>
      <c r="H293" s="6">
        <v>1.290622190143738</v>
      </c>
      <c r="I293" s="6">
        <v>0.55893219539068006</v>
      </c>
      <c r="J293" s="6">
        <v>1.6590890000000009</v>
      </c>
      <c r="K293" s="6">
        <v>0.498742081444838</v>
      </c>
      <c r="L293" s="6">
        <v>0.78200000000000003</v>
      </c>
      <c r="M293" s="6">
        <v>0</v>
      </c>
      <c r="N293" s="6">
        <v>0.28199999999999997</v>
      </c>
      <c r="O293" s="6">
        <v>1.4970000000000001</v>
      </c>
      <c r="P293" s="6">
        <v>1.615</v>
      </c>
      <c r="Q293" s="6">
        <v>2.2919999999999998</v>
      </c>
    </row>
    <row r="294" spans="1:17" x14ac:dyDescent="0.35">
      <c r="A294" s="6" t="s">
        <v>212</v>
      </c>
      <c r="B294" s="6" t="s">
        <v>212</v>
      </c>
      <c r="C294" s="6">
        <v>0</v>
      </c>
      <c r="D294" s="6">
        <v>0</v>
      </c>
      <c r="E294" s="6">
        <v>0</v>
      </c>
      <c r="F294" s="6">
        <v>0</v>
      </c>
      <c r="G294" s="6">
        <v>0</v>
      </c>
      <c r="H294" s="6">
        <v>0</v>
      </c>
      <c r="I294" s="6">
        <v>0.8210611122871937</v>
      </c>
      <c r="J294" s="6">
        <v>2.1004980000000009</v>
      </c>
      <c r="K294" s="6">
        <v>1.9720376553680901</v>
      </c>
      <c r="L294" s="6">
        <v>2.794</v>
      </c>
      <c r="M294" s="6">
        <v>1.032</v>
      </c>
      <c r="N294" s="6">
        <v>6.7000000000000004E-2</v>
      </c>
      <c r="O294" s="6">
        <v>35.808</v>
      </c>
      <c r="P294" s="6">
        <v>14.351000000000001</v>
      </c>
      <c r="Q294" s="6">
        <v>2.7909999999999999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6A6A6"/>
  </sheetPr>
  <dimension ref="A1:F84"/>
  <sheetViews>
    <sheetView workbookViewId="0">
      <pane ySplit="1" topLeftCell="A2" activePane="bottomLeft" state="frozen"/>
      <selection pane="bottomLeft"/>
    </sheetView>
  </sheetViews>
  <sheetFormatPr defaultRowHeight="14.5" x14ac:dyDescent="0.35"/>
  <cols>
    <col min="1" max="6" width="22" customWidth="1"/>
  </cols>
  <sheetData>
    <row r="1" spans="1:6" x14ac:dyDescent="0.35">
      <c r="A1" s="11" t="s">
        <v>233</v>
      </c>
      <c r="B1" s="11"/>
      <c r="C1" s="11" t="s">
        <v>234</v>
      </c>
      <c r="D1" s="11"/>
      <c r="E1" s="11"/>
      <c r="F1" s="11"/>
    </row>
    <row r="2" spans="1:6" x14ac:dyDescent="0.35">
      <c r="A2" s="6" t="s">
        <v>235</v>
      </c>
      <c r="B2" s="6" t="s">
        <v>236</v>
      </c>
      <c r="C2" s="6" t="s">
        <v>237</v>
      </c>
      <c r="D2" s="6" t="s">
        <v>172</v>
      </c>
      <c r="E2" s="6" t="s">
        <v>238</v>
      </c>
      <c r="F2" s="6" t="s">
        <v>239</v>
      </c>
    </row>
    <row r="3" spans="1:6" x14ac:dyDescent="0.35">
      <c r="A3" s="6">
        <v>69</v>
      </c>
      <c r="B3" s="6" t="s">
        <v>240</v>
      </c>
      <c r="C3" s="6" t="s">
        <v>179</v>
      </c>
      <c r="D3" s="6" t="s">
        <v>73</v>
      </c>
      <c r="E3" s="6" t="s">
        <v>241</v>
      </c>
      <c r="F3" s="6">
        <v>51080400</v>
      </c>
    </row>
    <row r="4" spans="1:6" x14ac:dyDescent="0.35">
      <c r="A4" s="6">
        <v>70</v>
      </c>
      <c r="B4" s="6" t="s">
        <v>242</v>
      </c>
      <c r="C4" s="6" t="s">
        <v>179</v>
      </c>
      <c r="D4" s="6" t="s">
        <v>73</v>
      </c>
      <c r="E4" s="6" t="s">
        <v>243</v>
      </c>
      <c r="F4" s="6">
        <v>12024200</v>
      </c>
    </row>
    <row r="5" spans="1:6" x14ac:dyDescent="0.35">
      <c r="A5" s="6">
        <v>71</v>
      </c>
      <c r="B5" s="6" t="s">
        <v>244</v>
      </c>
      <c r="C5" s="6" t="s">
        <v>187</v>
      </c>
      <c r="D5" s="6" t="s">
        <v>69</v>
      </c>
      <c r="E5" s="6" t="s">
        <v>245</v>
      </c>
      <c r="F5" s="6">
        <v>1200</v>
      </c>
    </row>
    <row r="6" spans="1:6" x14ac:dyDescent="0.35">
      <c r="A6" s="6">
        <v>7</v>
      </c>
      <c r="B6" s="6" t="s">
        <v>246</v>
      </c>
      <c r="C6" s="6" t="s">
        <v>181</v>
      </c>
      <c r="D6" s="6" t="s">
        <v>63</v>
      </c>
      <c r="E6" s="6" t="s">
        <v>247</v>
      </c>
      <c r="F6" s="6">
        <v>10000</v>
      </c>
    </row>
    <row r="7" spans="1:6" x14ac:dyDescent="0.35">
      <c r="A7" s="6">
        <v>8</v>
      </c>
      <c r="B7" s="6" t="s">
        <v>248</v>
      </c>
      <c r="C7" s="6" t="s">
        <v>181</v>
      </c>
      <c r="D7" s="6" t="s">
        <v>63</v>
      </c>
      <c r="E7" s="6" t="s">
        <v>247</v>
      </c>
      <c r="F7" s="6">
        <v>10000</v>
      </c>
    </row>
    <row r="8" spans="1:6" x14ac:dyDescent="0.35">
      <c r="A8" s="6">
        <v>9</v>
      </c>
      <c r="B8" s="6" t="s">
        <v>249</v>
      </c>
      <c r="C8" s="6" t="s">
        <v>181</v>
      </c>
      <c r="D8" s="6" t="s">
        <v>63</v>
      </c>
      <c r="E8" s="6" t="s">
        <v>250</v>
      </c>
      <c r="F8" s="6">
        <v>9500</v>
      </c>
    </row>
    <row r="9" spans="1:6" x14ac:dyDescent="0.35">
      <c r="A9" s="6">
        <v>11</v>
      </c>
      <c r="B9" s="6" t="s">
        <v>251</v>
      </c>
      <c r="C9" s="6" t="s">
        <v>181</v>
      </c>
      <c r="D9" s="6" t="s">
        <v>63</v>
      </c>
      <c r="E9" s="6" t="s">
        <v>252</v>
      </c>
      <c r="F9" s="6">
        <v>9000</v>
      </c>
    </row>
    <row r="10" spans="1:6" x14ac:dyDescent="0.35">
      <c r="A10" s="6">
        <v>14</v>
      </c>
      <c r="B10" s="6" t="s">
        <v>253</v>
      </c>
      <c r="C10" s="6" t="s">
        <v>181</v>
      </c>
      <c r="D10" s="6" t="s">
        <v>63</v>
      </c>
      <c r="E10" s="6" t="s">
        <v>254</v>
      </c>
      <c r="F10" s="6">
        <v>7900</v>
      </c>
    </row>
    <row r="11" spans="1:6" x14ac:dyDescent="0.35">
      <c r="A11" s="6">
        <v>20</v>
      </c>
      <c r="B11" s="6" t="s">
        <v>255</v>
      </c>
      <c r="C11" s="6" t="s">
        <v>181</v>
      </c>
      <c r="D11" s="6" t="s">
        <v>63</v>
      </c>
      <c r="E11" s="6" t="s">
        <v>256</v>
      </c>
      <c r="F11" s="6">
        <v>5000</v>
      </c>
    </row>
    <row r="12" spans="1:6" x14ac:dyDescent="0.35">
      <c r="A12" s="6">
        <v>22</v>
      </c>
      <c r="B12" s="6" t="s">
        <v>257</v>
      </c>
      <c r="C12" s="6" t="s">
        <v>181</v>
      </c>
      <c r="D12" s="6" t="s">
        <v>63</v>
      </c>
      <c r="E12" s="6" t="s">
        <v>258</v>
      </c>
      <c r="F12" s="6">
        <v>4800</v>
      </c>
    </row>
    <row r="13" spans="1:6" x14ac:dyDescent="0.35">
      <c r="A13" s="6">
        <v>24</v>
      </c>
      <c r="B13" s="6" t="s">
        <v>259</v>
      </c>
      <c r="C13" s="6" t="s">
        <v>181</v>
      </c>
      <c r="D13" s="6" t="s">
        <v>63</v>
      </c>
      <c r="E13" s="6" t="s">
        <v>258</v>
      </c>
      <c r="F13" s="6">
        <v>4800</v>
      </c>
    </row>
    <row r="14" spans="1:6" x14ac:dyDescent="0.35">
      <c r="A14" s="6">
        <v>26</v>
      </c>
      <c r="B14" s="6" t="s">
        <v>260</v>
      </c>
      <c r="C14" s="6" t="s">
        <v>181</v>
      </c>
      <c r="D14" s="6" t="s">
        <v>63</v>
      </c>
      <c r="E14" s="6" t="s">
        <v>261</v>
      </c>
      <c r="F14" s="6">
        <v>4700</v>
      </c>
    </row>
    <row r="15" spans="1:6" x14ac:dyDescent="0.35">
      <c r="A15" s="6">
        <v>27</v>
      </c>
      <c r="B15" s="6" t="s">
        <v>262</v>
      </c>
      <c r="C15" s="6" t="s">
        <v>181</v>
      </c>
      <c r="D15" s="6" t="s">
        <v>63</v>
      </c>
      <c r="E15" s="6" t="s">
        <v>263</v>
      </c>
      <c r="F15" s="6">
        <v>4600</v>
      </c>
    </row>
    <row r="16" spans="1:6" x14ac:dyDescent="0.35">
      <c r="A16" s="6">
        <v>28</v>
      </c>
      <c r="B16" s="6" t="s">
        <v>264</v>
      </c>
      <c r="C16" s="6" t="s">
        <v>181</v>
      </c>
      <c r="D16" s="6" t="s">
        <v>63</v>
      </c>
      <c r="E16" s="6" t="s">
        <v>265</v>
      </c>
      <c r="F16" s="6">
        <v>4500</v>
      </c>
    </row>
    <row r="17" spans="1:6" x14ac:dyDescent="0.35">
      <c r="A17" s="6">
        <v>30</v>
      </c>
      <c r="B17" s="6" t="s">
        <v>266</v>
      </c>
      <c r="C17" s="6" t="s">
        <v>181</v>
      </c>
      <c r="D17" s="6" t="s">
        <v>63</v>
      </c>
      <c r="E17" s="6" t="s">
        <v>265</v>
      </c>
      <c r="F17" s="6">
        <v>4500</v>
      </c>
    </row>
    <row r="18" spans="1:6" x14ac:dyDescent="0.35">
      <c r="A18" s="6">
        <v>34</v>
      </c>
      <c r="B18" s="6" t="s">
        <v>267</v>
      </c>
      <c r="C18" s="6" t="s">
        <v>181</v>
      </c>
      <c r="D18" s="6" t="s">
        <v>63</v>
      </c>
      <c r="E18" s="6" t="s">
        <v>268</v>
      </c>
      <c r="F18" s="6">
        <v>3300</v>
      </c>
    </row>
    <row r="19" spans="1:6" x14ac:dyDescent="0.35">
      <c r="A19" s="6">
        <v>40</v>
      </c>
      <c r="B19" s="6" t="s">
        <v>269</v>
      </c>
      <c r="C19" s="6" t="s">
        <v>181</v>
      </c>
      <c r="D19" s="6" t="s">
        <v>63</v>
      </c>
      <c r="E19" s="6" t="s">
        <v>270</v>
      </c>
      <c r="F19" s="6">
        <v>100</v>
      </c>
    </row>
    <row r="20" spans="1:6" x14ac:dyDescent="0.35">
      <c r="A20" s="6">
        <v>41</v>
      </c>
      <c r="B20" s="6" t="s">
        <v>271</v>
      </c>
      <c r="C20" s="6" t="s">
        <v>181</v>
      </c>
      <c r="D20" s="6" t="s">
        <v>63</v>
      </c>
      <c r="E20" s="6" t="s">
        <v>272</v>
      </c>
      <c r="F20" s="6">
        <v>48</v>
      </c>
    </row>
    <row r="21" spans="1:6" x14ac:dyDescent="0.35">
      <c r="A21" s="6">
        <v>75</v>
      </c>
      <c r="B21" s="6" t="s">
        <v>273</v>
      </c>
      <c r="C21" s="6" t="s">
        <v>181</v>
      </c>
      <c r="D21" s="6" t="s">
        <v>69</v>
      </c>
      <c r="E21" s="6" t="s">
        <v>274</v>
      </c>
      <c r="F21" s="6">
        <v>8</v>
      </c>
    </row>
    <row r="22" spans="1:6" x14ac:dyDescent="0.35">
      <c r="A22" s="6">
        <v>80</v>
      </c>
      <c r="B22" s="6" t="s">
        <v>275</v>
      </c>
      <c r="C22" s="6" t="s">
        <v>181</v>
      </c>
      <c r="D22" s="6" t="s">
        <v>69</v>
      </c>
      <c r="E22" s="6" t="s">
        <v>276</v>
      </c>
      <c r="F22" s="6">
        <v>3</v>
      </c>
    </row>
    <row r="23" spans="1:6" x14ac:dyDescent="0.35">
      <c r="A23" s="6">
        <v>18</v>
      </c>
      <c r="B23" s="6" t="s">
        <v>277</v>
      </c>
      <c r="C23" s="6" t="s">
        <v>182</v>
      </c>
      <c r="D23" s="6" t="s">
        <v>63</v>
      </c>
      <c r="E23" s="6" t="s">
        <v>278</v>
      </c>
      <c r="F23" s="6">
        <v>5500</v>
      </c>
    </row>
    <row r="24" spans="1:6" x14ac:dyDescent="0.35">
      <c r="A24" s="6">
        <v>29</v>
      </c>
      <c r="B24" s="6" t="s">
        <v>279</v>
      </c>
      <c r="C24" s="6" t="s">
        <v>182</v>
      </c>
      <c r="D24" s="6" t="s">
        <v>63</v>
      </c>
      <c r="E24" s="6" t="s">
        <v>265</v>
      </c>
      <c r="F24" s="6">
        <v>4500</v>
      </c>
    </row>
    <row r="25" spans="1:6" x14ac:dyDescent="0.35">
      <c r="A25" s="6">
        <v>31</v>
      </c>
      <c r="B25" s="6" t="s">
        <v>280</v>
      </c>
      <c r="C25" s="6" t="s">
        <v>182</v>
      </c>
      <c r="D25" s="6" t="s">
        <v>63</v>
      </c>
      <c r="E25" s="6" t="s">
        <v>281</v>
      </c>
      <c r="F25" s="6">
        <v>4400</v>
      </c>
    </row>
    <row r="26" spans="1:6" x14ac:dyDescent="0.35">
      <c r="A26" s="6">
        <v>32</v>
      </c>
      <c r="B26" s="6" t="s">
        <v>282</v>
      </c>
      <c r="C26" s="6" t="s">
        <v>182</v>
      </c>
      <c r="D26" s="6" t="s">
        <v>63</v>
      </c>
      <c r="E26" s="6" t="s">
        <v>283</v>
      </c>
      <c r="F26" s="6">
        <v>4300</v>
      </c>
    </row>
    <row r="27" spans="1:6" x14ac:dyDescent="0.35">
      <c r="A27" s="6">
        <v>67</v>
      </c>
      <c r="B27" s="6" t="s">
        <v>284</v>
      </c>
      <c r="C27" s="6" t="s">
        <v>182</v>
      </c>
      <c r="D27" s="6" t="s">
        <v>71</v>
      </c>
      <c r="E27" s="6" t="s">
        <v>285</v>
      </c>
      <c r="F27" s="6">
        <v>38</v>
      </c>
    </row>
    <row r="28" spans="1:6" x14ac:dyDescent="0.35">
      <c r="A28" s="6">
        <v>56</v>
      </c>
      <c r="B28" s="6" t="s">
        <v>286</v>
      </c>
      <c r="C28" s="6" t="s">
        <v>183</v>
      </c>
      <c r="D28" s="6" t="s">
        <v>67</v>
      </c>
      <c r="E28" s="6" t="s">
        <v>287</v>
      </c>
      <c r="F28" s="6">
        <v>2000</v>
      </c>
    </row>
    <row r="29" spans="1:6" x14ac:dyDescent="0.35">
      <c r="A29" s="6">
        <v>64</v>
      </c>
      <c r="B29" s="6" t="s">
        <v>288</v>
      </c>
      <c r="C29" s="6" t="s">
        <v>183</v>
      </c>
      <c r="D29" s="6" t="s">
        <v>67</v>
      </c>
      <c r="E29" s="6" t="s">
        <v>289</v>
      </c>
      <c r="F29" s="6">
        <v>300</v>
      </c>
    </row>
    <row r="30" spans="1:6" x14ac:dyDescent="0.35">
      <c r="A30" s="6">
        <v>73</v>
      </c>
      <c r="B30" s="6" t="s">
        <v>290</v>
      </c>
      <c r="C30" s="6" t="s">
        <v>183</v>
      </c>
      <c r="D30" s="6" t="s">
        <v>69</v>
      </c>
      <c r="E30" s="6" t="s">
        <v>291</v>
      </c>
      <c r="F30" s="6">
        <v>16</v>
      </c>
    </row>
    <row r="31" spans="1:6" x14ac:dyDescent="0.35">
      <c r="A31" s="6">
        <v>82</v>
      </c>
      <c r="B31" s="6" t="s">
        <v>292</v>
      </c>
      <c r="C31" s="6" t="s">
        <v>183</v>
      </c>
      <c r="D31" s="6" t="s">
        <v>69</v>
      </c>
      <c r="E31" s="6" t="s">
        <v>293</v>
      </c>
      <c r="F31" s="6">
        <v>2</v>
      </c>
    </row>
    <row r="32" spans="1:6" x14ac:dyDescent="0.35">
      <c r="A32" s="6">
        <v>58</v>
      </c>
      <c r="B32" s="6" t="s">
        <v>294</v>
      </c>
      <c r="C32" s="6" t="s">
        <v>184</v>
      </c>
      <c r="D32" s="6" t="s">
        <v>67</v>
      </c>
      <c r="E32" s="6" t="s">
        <v>245</v>
      </c>
      <c r="F32" s="6">
        <v>1200</v>
      </c>
    </row>
    <row r="33" spans="1:6" x14ac:dyDescent="0.35">
      <c r="A33" s="6">
        <v>62</v>
      </c>
      <c r="B33" s="6" t="s">
        <v>295</v>
      </c>
      <c r="C33" s="6" t="s">
        <v>184</v>
      </c>
      <c r="D33" s="6" t="s">
        <v>67</v>
      </c>
      <c r="E33" s="6" t="s">
        <v>296</v>
      </c>
      <c r="F33" s="6">
        <v>700</v>
      </c>
    </row>
    <row r="34" spans="1:6" x14ac:dyDescent="0.35">
      <c r="A34" s="6">
        <v>78</v>
      </c>
      <c r="B34" s="6" t="s">
        <v>297</v>
      </c>
      <c r="C34" s="6" t="s">
        <v>184</v>
      </c>
      <c r="D34" s="6" t="s">
        <v>69</v>
      </c>
      <c r="E34" s="6" t="s">
        <v>298</v>
      </c>
      <c r="F34" s="6">
        <v>4</v>
      </c>
    </row>
    <row r="35" spans="1:6" x14ac:dyDescent="0.35">
      <c r="A35" s="6">
        <v>2</v>
      </c>
      <c r="B35" s="6" t="s">
        <v>299</v>
      </c>
      <c r="C35" s="6" t="s">
        <v>185</v>
      </c>
      <c r="D35" s="6" t="s">
        <v>63</v>
      </c>
      <c r="E35" s="6" t="s">
        <v>300</v>
      </c>
      <c r="F35" s="6">
        <v>44300</v>
      </c>
    </row>
    <row r="36" spans="1:6" x14ac:dyDescent="0.35">
      <c r="A36" s="6">
        <v>72</v>
      </c>
      <c r="B36" s="6" t="s">
        <v>301</v>
      </c>
      <c r="C36" s="6" t="s">
        <v>185</v>
      </c>
      <c r="D36" s="6" t="s">
        <v>69</v>
      </c>
      <c r="E36" s="6" t="s">
        <v>302</v>
      </c>
      <c r="F36" s="6">
        <v>91</v>
      </c>
    </row>
    <row r="37" spans="1:6" x14ac:dyDescent="0.35">
      <c r="A37" s="6">
        <v>74</v>
      </c>
      <c r="B37" s="6" t="s">
        <v>303</v>
      </c>
      <c r="C37" s="6" t="s">
        <v>185</v>
      </c>
      <c r="D37" s="6" t="s">
        <v>69</v>
      </c>
      <c r="E37" s="6" t="s">
        <v>304</v>
      </c>
      <c r="F37" s="6">
        <v>9</v>
      </c>
    </row>
    <row r="38" spans="1:6" x14ac:dyDescent="0.35">
      <c r="A38" s="6">
        <v>76</v>
      </c>
      <c r="B38" s="6" t="s">
        <v>305</v>
      </c>
      <c r="C38" s="6" t="s">
        <v>185</v>
      </c>
      <c r="D38" s="6" t="s">
        <v>69</v>
      </c>
      <c r="E38" s="6" t="s">
        <v>306</v>
      </c>
      <c r="F38" s="6">
        <v>6</v>
      </c>
    </row>
    <row r="39" spans="1:6" x14ac:dyDescent="0.35">
      <c r="A39" s="6">
        <v>79</v>
      </c>
      <c r="B39" s="6" t="s">
        <v>307</v>
      </c>
      <c r="C39" s="6" t="s">
        <v>185</v>
      </c>
      <c r="D39" s="6" t="s">
        <v>69</v>
      </c>
      <c r="E39" s="6" t="s">
        <v>276</v>
      </c>
      <c r="F39" s="6">
        <v>3</v>
      </c>
    </row>
    <row r="40" spans="1:6" x14ac:dyDescent="0.35">
      <c r="A40" s="6">
        <v>81</v>
      </c>
      <c r="B40" s="6" t="s">
        <v>308</v>
      </c>
      <c r="C40" s="6" t="s">
        <v>185</v>
      </c>
      <c r="D40" s="6" t="s">
        <v>69</v>
      </c>
      <c r="E40" s="6" t="s">
        <v>276</v>
      </c>
      <c r="F40" s="6">
        <v>3</v>
      </c>
    </row>
    <row r="41" spans="1:6" x14ac:dyDescent="0.35">
      <c r="A41" s="6">
        <v>10</v>
      </c>
      <c r="B41" s="6" t="s">
        <v>309</v>
      </c>
      <c r="C41" s="6" t="s">
        <v>186</v>
      </c>
      <c r="D41" s="6" t="s">
        <v>63</v>
      </c>
      <c r="E41" s="6" t="s">
        <v>310</v>
      </c>
      <c r="F41" s="6">
        <v>9200</v>
      </c>
    </row>
    <row r="42" spans="1:6" x14ac:dyDescent="0.35">
      <c r="A42" s="6">
        <v>1</v>
      </c>
      <c r="B42" s="6" t="s">
        <v>311</v>
      </c>
      <c r="C42" s="6" t="s">
        <v>188</v>
      </c>
      <c r="D42" s="6" t="s">
        <v>63</v>
      </c>
      <c r="E42" s="6" t="s">
        <v>312</v>
      </c>
      <c r="F42" s="6">
        <v>45400</v>
      </c>
    </row>
    <row r="43" spans="1:6" x14ac:dyDescent="0.35">
      <c r="A43" s="6">
        <v>3</v>
      </c>
      <c r="B43" s="6" t="s">
        <v>313</v>
      </c>
      <c r="C43" s="6" t="s">
        <v>188</v>
      </c>
      <c r="D43" s="6" t="s">
        <v>63</v>
      </c>
      <c r="E43" s="6" t="s">
        <v>314</v>
      </c>
      <c r="F43" s="6">
        <v>34600</v>
      </c>
    </row>
    <row r="44" spans="1:6" x14ac:dyDescent="0.35">
      <c r="A44" s="6">
        <v>4</v>
      </c>
      <c r="B44" s="6" t="s">
        <v>315</v>
      </c>
      <c r="C44" s="6" t="s">
        <v>188</v>
      </c>
      <c r="D44" s="6" t="s">
        <v>63</v>
      </c>
      <c r="E44" s="6" t="s">
        <v>316</v>
      </c>
      <c r="F44" s="6">
        <v>16800</v>
      </c>
    </row>
    <row r="45" spans="1:6" x14ac:dyDescent="0.35">
      <c r="A45" s="6">
        <v>6</v>
      </c>
      <c r="B45" s="6" t="s">
        <v>317</v>
      </c>
      <c r="C45" s="6" t="s">
        <v>188</v>
      </c>
      <c r="D45" s="6" t="s">
        <v>63</v>
      </c>
      <c r="E45" s="6" t="s">
        <v>318</v>
      </c>
      <c r="F45" s="6">
        <v>15500</v>
      </c>
    </row>
    <row r="46" spans="1:6" x14ac:dyDescent="0.35">
      <c r="A46" s="6">
        <v>33</v>
      </c>
      <c r="B46" s="6" t="s">
        <v>319</v>
      </c>
      <c r="C46" s="6" t="s">
        <v>188</v>
      </c>
      <c r="D46" s="6" t="s">
        <v>63</v>
      </c>
      <c r="E46" s="6" t="s">
        <v>320</v>
      </c>
      <c r="F46" s="6">
        <v>3600</v>
      </c>
    </row>
    <row r="47" spans="1:6" x14ac:dyDescent="0.35">
      <c r="A47" s="6">
        <v>37</v>
      </c>
      <c r="B47" s="6" t="s">
        <v>321</v>
      </c>
      <c r="C47" s="6" t="s">
        <v>188</v>
      </c>
      <c r="D47" s="6" t="s">
        <v>63</v>
      </c>
      <c r="E47" s="6" t="s">
        <v>322</v>
      </c>
      <c r="F47" s="6">
        <v>1600</v>
      </c>
    </row>
    <row r="48" spans="1:6" x14ac:dyDescent="0.35">
      <c r="A48" s="6">
        <v>50</v>
      </c>
      <c r="B48" s="6" t="s">
        <v>323</v>
      </c>
      <c r="C48" s="6" t="s">
        <v>188</v>
      </c>
      <c r="D48" s="6" t="s">
        <v>65</v>
      </c>
      <c r="E48" s="6" t="s">
        <v>324</v>
      </c>
      <c r="F48" s="6">
        <v>836000</v>
      </c>
    </row>
    <row r="49" spans="1:6" x14ac:dyDescent="0.35">
      <c r="A49" s="6">
        <v>42</v>
      </c>
      <c r="B49" s="6" t="s">
        <v>325</v>
      </c>
      <c r="C49" s="6" t="s">
        <v>189</v>
      </c>
      <c r="D49" s="6" t="s">
        <v>63</v>
      </c>
      <c r="E49" s="6" t="s">
        <v>326</v>
      </c>
      <c r="F49" s="6">
        <v>10</v>
      </c>
    </row>
    <row r="50" spans="1:6" x14ac:dyDescent="0.35">
      <c r="A50" s="6">
        <v>43</v>
      </c>
      <c r="B50" s="6" t="s">
        <v>327</v>
      </c>
      <c r="C50" s="6" t="s">
        <v>189</v>
      </c>
      <c r="D50" s="6" t="s">
        <v>63</v>
      </c>
      <c r="E50" s="6" t="s">
        <v>326</v>
      </c>
      <c r="F50" s="6">
        <v>10</v>
      </c>
    </row>
    <row r="51" spans="1:6" x14ac:dyDescent="0.35">
      <c r="A51" s="6">
        <v>51</v>
      </c>
      <c r="B51" s="6" t="s">
        <v>328</v>
      </c>
      <c r="C51" s="6" t="s">
        <v>189</v>
      </c>
      <c r="D51" s="6" t="s">
        <v>67</v>
      </c>
      <c r="E51" s="6" t="s">
        <v>329</v>
      </c>
      <c r="F51" s="6">
        <v>995700</v>
      </c>
    </row>
    <row r="52" spans="1:6" x14ac:dyDescent="0.35">
      <c r="A52" s="6">
        <v>52</v>
      </c>
      <c r="B52" s="6" t="s">
        <v>330</v>
      </c>
      <c r="C52" s="6" t="s">
        <v>189</v>
      </c>
      <c r="D52" s="6" t="s">
        <v>67</v>
      </c>
      <c r="E52" s="6" t="s">
        <v>331</v>
      </c>
      <c r="F52" s="6">
        <v>265300</v>
      </c>
    </row>
    <row r="53" spans="1:6" x14ac:dyDescent="0.35">
      <c r="A53" s="6">
        <v>53</v>
      </c>
      <c r="B53" s="6" t="s">
        <v>332</v>
      </c>
      <c r="C53" s="6" t="s">
        <v>189</v>
      </c>
      <c r="D53" s="6" t="s">
        <v>67</v>
      </c>
      <c r="E53" s="6" t="s">
        <v>333</v>
      </c>
      <c r="F53" s="6">
        <v>40600</v>
      </c>
    </row>
    <row r="54" spans="1:6" x14ac:dyDescent="0.35">
      <c r="A54" s="6">
        <v>54</v>
      </c>
      <c r="B54" s="6" t="s">
        <v>334</v>
      </c>
      <c r="C54" s="6" t="s">
        <v>189</v>
      </c>
      <c r="D54" s="6" t="s">
        <v>67</v>
      </c>
      <c r="E54" s="6" t="s">
        <v>318</v>
      </c>
      <c r="F54" s="6">
        <v>15500</v>
      </c>
    </row>
    <row r="55" spans="1:6" x14ac:dyDescent="0.35">
      <c r="A55" s="6">
        <v>55</v>
      </c>
      <c r="B55" s="6" t="s">
        <v>335</v>
      </c>
      <c r="C55" s="6" t="s">
        <v>189</v>
      </c>
      <c r="D55" s="6" t="s">
        <v>67</v>
      </c>
      <c r="E55" s="6" t="s">
        <v>336</v>
      </c>
      <c r="F55" s="6">
        <v>9800</v>
      </c>
    </row>
    <row r="56" spans="1:6" x14ac:dyDescent="0.35">
      <c r="A56" s="6">
        <v>57</v>
      </c>
      <c r="B56" s="6" t="s">
        <v>337</v>
      </c>
      <c r="C56" s="6" t="s">
        <v>189</v>
      </c>
      <c r="D56" s="6" t="s">
        <v>67</v>
      </c>
      <c r="E56" s="6" t="s">
        <v>245</v>
      </c>
      <c r="F56" s="6">
        <v>1200</v>
      </c>
    </row>
    <row r="57" spans="1:6" x14ac:dyDescent="0.35">
      <c r="A57" s="6">
        <v>59</v>
      </c>
      <c r="B57" s="6" t="s">
        <v>338</v>
      </c>
      <c r="C57" s="6" t="s">
        <v>189</v>
      </c>
      <c r="D57" s="6" t="s">
        <v>67</v>
      </c>
      <c r="E57" s="6" t="s">
        <v>339</v>
      </c>
      <c r="F57" s="6">
        <v>1000</v>
      </c>
    </row>
    <row r="58" spans="1:6" x14ac:dyDescent="0.35">
      <c r="A58" s="6">
        <v>60</v>
      </c>
      <c r="B58" s="6" t="s">
        <v>340</v>
      </c>
      <c r="C58" s="6" t="s">
        <v>189</v>
      </c>
      <c r="D58" s="6" t="s">
        <v>67</v>
      </c>
      <c r="E58" s="6" t="s">
        <v>341</v>
      </c>
      <c r="F58" s="6">
        <v>900</v>
      </c>
    </row>
    <row r="59" spans="1:6" x14ac:dyDescent="0.35">
      <c r="A59" s="6">
        <v>61</v>
      </c>
      <c r="B59" s="6" t="s">
        <v>342</v>
      </c>
      <c r="C59" s="6" t="s">
        <v>189</v>
      </c>
      <c r="D59" s="6" t="s">
        <v>67</v>
      </c>
      <c r="E59" s="6" t="s">
        <v>296</v>
      </c>
      <c r="F59" s="6">
        <v>700</v>
      </c>
    </row>
    <row r="60" spans="1:6" x14ac:dyDescent="0.35">
      <c r="A60" s="6">
        <v>63</v>
      </c>
      <c r="B60" s="6" t="s">
        <v>343</v>
      </c>
      <c r="C60" s="6" t="s">
        <v>189</v>
      </c>
      <c r="D60" s="6" t="s">
        <v>67</v>
      </c>
      <c r="E60" s="6" t="s">
        <v>344</v>
      </c>
      <c r="F60" s="6">
        <v>400</v>
      </c>
    </row>
    <row r="61" spans="1:6" x14ac:dyDescent="0.35">
      <c r="A61" s="6">
        <v>65</v>
      </c>
      <c r="B61" s="6" t="s">
        <v>345</v>
      </c>
      <c r="C61" s="6" t="s">
        <v>189</v>
      </c>
      <c r="D61" s="6" t="s">
        <v>67</v>
      </c>
      <c r="E61" s="6" t="s">
        <v>289</v>
      </c>
      <c r="F61" s="6">
        <v>300</v>
      </c>
    </row>
    <row r="62" spans="1:6" x14ac:dyDescent="0.35">
      <c r="A62" s="6">
        <v>66</v>
      </c>
      <c r="B62" s="6" t="s">
        <v>346</v>
      </c>
      <c r="C62" s="6" t="s">
        <v>189</v>
      </c>
      <c r="D62" s="6" t="s">
        <v>67</v>
      </c>
      <c r="E62" s="6" t="s">
        <v>347</v>
      </c>
      <c r="F62" s="6">
        <v>200</v>
      </c>
    </row>
    <row r="63" spans="1:6" x14ac:dyDescent="0.35">
      <c r="A63" s="6">
        <v>68</v>
      </c>
      <c r="B63" s="6" t="s">
        <v>348</v>
      </c>
      <c r="C63" s="6" t="s">
        <v>189</v>
      </c>
      <c r="D63" s="6" t="s">
        <v>67</v>
      </c>
      <c r="E63" s="6" t="s">
        <v>349</v>
      </c>
      <c r="F63" s="6">
        <v>36</v>
      </c>
    </row>
    <row r="64" spans="1:6" x14ac:dyDescent="0.35">
      <c r="A64" s="6">
        <v>5</v>
      </c>
      <c r="B64" s="6" t="s">
        <v>350</v>
      </c>
      <c r="C64" s="6" t="s">
        <v>190</v>
      </c>
      <c r="D64" s="6" t="s">
        <v>63</v>
      </c>
      <c r="E64" s="6" t="s">
        <v>351</v>
      </c>
      <c r="F64" s="6">
        <v>15800</v>
      </c>
    </row>
    <row r="65" spans="1:6" x14ac:dyDescent="0.35">
      <c r="A65" s="6">
        <v>12</v>
      </c>
      <c r="B65" s="6" t="s">
        <v>352</v>
      </c>
      <c r="C65" s="6" t="s">
        <v>190</v>
      </c>
      <c r="D65" s="6" t="s">
        <v>63</v>
      </c>
      <c r="E65" s="6" t="s">
        <v>353</v>
      </c>
      <c r="F65" s="6">
        <v>8900</v>
      </c>
    </row>
    <row r="66" spans="1:6" x14ac:dyDescent="0.35">
      <c r="A66" s="6">
        <v>13</v>
      </c>
      <c r="B66" s="6" t="s">
        <v>354</v>
      </c>
      <c r="C66" s="6" t="s">
        <v>190</v>
      </c>
      <c r="D66" s="6" t="s">
        <v>63</v>
      </c>
      <c r="E66" s="6" t="s">
        <v>355</v>
      </c>
      <c r="F66" s="6">
        <v>8000</v>
      </c>
    </row>
    <row r="67" spans="1:6" x14ac:dyDescent="0.35">
      <c r="A67" s="6">
        <v>15</v>
      </c>
      <c r="B67" s="6" t="s">
        <v>356</v>
      </c>
      <c r="C67" s="6" t="s">
        <v>190</v>
      </c>
      <c r="D67" s="6" t="s">
        <v>63</v>
      </c>
      <c r="E67" s="6" t="s">
        <v>357</v>
      </c>
      <c r="F67" s="6">
        <v>6900</v>
      </c>
    </row>
    <row r="68" spans="1:6" x14ac:dyDescent="0.35">
      <c r="A68" s="6">
        <v>16</v>
      </c>
      <c r="B68" s="6" t="s">
        <v>358</v>
      </c>
      <c r="C68" s="6" t="s">
        <v>190</v>
      </c>
      <c r="D68" s="6" t="s">
        <v>63</v>
      </c>
      <c r="E68" s="6" t="s">
        <v>359</v>
      </c>
      <c r="F68" s="6">
        <v>6600</v>
      </c>
    </row>
    <row r="69" spans="1:6" x14ac:dyDescent="0.35">
      <c r="A69" s="6">
        <v>17</v>
      </c>
      <c r="B69" s="6" t="s">
        <v>360</v>
      </c>
      <c r="C69" s="6" t="s">
        <v>190</v>
      </c>
      <c r="D69" s="6" t="s">
        <v>63</v>
      </c>
      <c r="E69" s="6" t="s">
        <v>361</v>
      </c>
      <c r="F69" s="6">
        <v>6100</v>
      </c>
    </row>
    <row r="70" spans="1:6" x14ac:dyDescent="0.35">
      <c r="A70" s="6">
        <v>19</v>
      </c>
      <c r="B70" s="6" t="s">
        <v>362</v>
      </c>
      <c r="C70" s="6" t="s">
        <v>190</v>
      </c>
      <c r="D70" s="6" t="s">
        <v>63</v>
      </c>
      <c r="E70" s="6" t="s">
        <v>256</v>
      </c>
      <c r="F70" s="6">
        <v>5000</v>
      </c>
    </row>
    <row r="71" spans="1:6" x14ac:dyDescent="0.35">
      <c r="A71" s="6">
        <v>21</v>
      </c>
      <c r="B71" s="6" t="s">
        <v>363</v>
      </c>
      <c r="C71" s="6" t="s">
        <v>190</v>
      </c>
      <c r="D71" s="6" t="s">
        <v>63</v>
      </c>
      <c r="E71" s="6" t="s">
        <v>364</v>
      </c>
      <c r="F71" s="6">
        <v>4900</v>
      </c>
    </row>
    <row r="72" spans="1:6" x14ac:dyDescent="0.35">
      <c r="A72" s="6">
        <v>23</v>
      </c>
      <c r="B72" s="6" t="s">
        <v>365</v>
      </c>
      <c r="C72" s="6" t="s">
        <v>190</v>
      </c>
      <c r="D72" s="6" t="s">
        <v>63</v>
      </c>
      <c r="E72" s="6" t="s">
        <v>258</v>
      </c>
      <c r="F72" s="6">
        <v>4800</v>
      </c>
    </row>
    <row r="73" spans="1:6" x14ac:dyDescent="0.35">
      <c r="A73" s="6">
        <v>25</v>
      </c>
      <c r="B73" s="6" t="s">
        <v>366</v>
      </c>
      <c r="C73" s="6" t="s">
        <v>190</v>
      </c>
      <c r="D73" s="6" t="s">
        <v>63</v>
      </c>
      <c r="E73" s="6" t="s">
        <v>261</v>
      </c>
      <c r="F73" s="6">
        <v>4700</v>
      </c>
    </row>
    <row r="74" spans="1:6" x14ac:dyDescent="0.35">
      <c r="A74" s="6">
        <v>35</v>
      </c>
      <c r="B74" s="6" t="s">
        <v>367</v>
      </c>
      <c r="C74" s="6" t="s">
        <v>190</v>
      </c>
      <c r="D74" s="6" t="s">
        <v>63</v>
      </c>
      <c r="E74" s="6" t="s">
        <v>368</v>
      </c>
      <c r="F74" s="6">
        <v>2400</v>
      </c>
    </row>
    <row r="75" spans="1:6" x14ac:dyDescent="0.35">
      <c r="A75" s="6">
        <v>44</v>
      </c>
      <c r="B75" s="6" t="s">
        <v>369</v>
      </c>
      <c r="C75" s="6" t="s">
        <v>190</v>
      </c>
      <c r="D75" s="6" t="s">
        <v>63</v>
      </c>
      <c r="E75" s="6" t="s">
        <v>306</v>
      </c>
      <c r="F75" s="6">
        <v>6</v>
      </c>
    </row>
    <row r="76" spans="1:6" x14ac:dyDescent="0.35">
      <c r="A76" s="6">
        <v>45</v>
      </c>
      <c r="B76" s="6" t="s">
        <v>370</v>
      </c>
      <c r="C76" s="6" t="s">
        <v>190</v>
      </c>
      <c r="D76" s="6" t="s">
        <v>63</v>
      </c>
      <c r="E76" s="6" t="s">
        <v>371</v>
      </c>
      <c r="F76" s="6">
        <v>1</v>
      </c>
    </row>
    <row r="77" spans="1:6" x14ac:dyDescent="0.35">
      <c r="A77" s="6">
        <v>46</v>
      </c>
      <c r="B77" s="6" t="s">
        <v>372</v>
      </c>
      <c r="C77" s="6" t="s">
        <v>190</v>
      </c>
      <c r="D77" s="6" t="s">
        <v>63</v>
      </c>
      <c r="E77" s="6" t="s">
        <v>371</v>
      </c>
      <c r="F77" s="6">
        <v>1</v>
      </c>
    </row>
    <row r="78" spans="1:6" x14ac:dyDescent="0.35">
      <c r="A78" s="6">
        <v>47</v>
      </c>
      <c r="B78" s="6" t="s">
        <v>373</v>
      </c>
      <c r="C78" s="6" t="s">
        <v>190</v>
      </c>
      <c r="D78" s="6" t="s">
        <v>63</v>
      </c>
      <c r="E78" s="6" t="s">
        <v>374</v>
      </c>
      <c r="F78" s="6" t="s">
        <v>375</v>
      </c>
    </row>
    <row r="79" spans="1:6" x14ac:dyDescent="0.35">
      <c r="A79" s="6">
        <v>48</v>
      </c>
      <c r="B79" s="6" t="s">
        <v>376</v>
      </c>
      <c r="C79" s="6" t="s">
        <v>190</v>
      </c>
      <c r="D79" s="6" t="s">
        <v>63</v>
      </c>
      <c r="E79" s="6" t="s">
        <v>374</v>
      </c>
      <c r="F79" s="6" t="s">
        <v>375</v>
      </c>
    </row>
    <row r="80" spans="1:6" x14ac:dyDescent="0.35">
      <c r="A80" s="6">
        <v>49</v>
      </c>
      <c r="B80" s="6" t="s">
        <v>377</v>
      </c>
      <c r="C80" s="6" t="s">
        <v>190</v>
      </c>
      <c r="D80" s="6" t="s">
        <v>63</v>
      </c>
      <c r="E80" s="6" t="s">
        <v>374</v>
      </c>
      <c r="F80" s="6" t="s">
        <v>375</v>
      </c>
    </row>
    <row r="81" spans="1:6" x14ac:dyDescent="0.35">
      <c r="A81" s="6">
        <v>77</v>
      </c>
      <c r="B81" s="6" t="s">
        <v>378</v>
      </c>
      <c r="C81" s="6" t="s">
        <v>190</v>
      </c>
      <c r="D81" s="6" t="s">
        <v>69</v>
      </c>
      <c r="E81" s="6" t="s">
        <v>306</v>
      </c>
      <c r="F81" s="6">
        <v>6</v>
      </c>
    </row>
    <row r="82" spans="1:6" x14ac:dyDescent="0.35">
      <c r="A82" s="6">
        <v>36</v>
      </c>
      <c r="B82" s="6" t="s">
        <v>379</v>
      </c>
      <c r="C82" s="6" t="s">
        <v>191</v>
      </c>
      <c r="D82" s="6" t="s">
        <v>63</v>
      </c>
      <c r="E82" s="6" t="s">
        <v>380</v>
      </c>
      <c r="F82" s="6">
        <v>2100</v>
      </c>
    </row>
    <row r="83" spans="1:6" x14ac:dyDescent="0.35">
      <c r="A83" s="6">
        <v>38</v>
      </c>
      <c r="B83" s="6" t="s">
        <v>381</v>
      </c>
      <c r="C83" s="6" t="s">
        <v>191</v>
      </c>
      <c r="D83" s="6" t="s">
        <v>63</v>
      </c>
      <c r="E83" s="6" t="s">
        <v>245</v>
      </c>
      <c r="F83" s="6">
        <v>1200</v>
      </c>
    </row>
    <row r="84" spans="1:6" x14ac:dyDescent="0.35">
      <c r="A84" s="6">
        <v>39</v>
      </c>
      <c r="B84" s="6" t="s">
        <v>382</v>
      </c>
      <c r="C84" s="6" t="s">
        <v>191</v>
      </c>
      <c r="D84" s="6" t="s">
        <v>63</v>
      </c>
      <c r="E84" s="6" t="s">
        <v>245</v>
      </c>
      <c r="F84" s="6">
        <v>1200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6A6A6"/>
  </sheetPr>
  <dimension ref="A1:D32"/>
  <sheetViews>
    <sheetView workbookViewId="0">
      <pane ySplit="1" topLeftCell="A2" activePane="bottomLeft" state="frozen"/>
      <selection pane="bottomLeft"/>
    </sheetView>
  </sheetViews>
  <sheetFormatPr defaultRowHeight="14.5" x14ac:dyDescent="0.35"/>
  <cols>
    <col min="1" max="4" width="22" customWidth="1"/>
  </cols>
  <sheetData>
    <row r="1" spans="1:4" x14ac:dyDescent="0.35">
      <c r="A1" s="11" t="s">
        <v>383</v>
      </c>
      <c r="B1" s="11"/>
      <c r="C1" s="11"/>
      <c r="D1" s="11" t="s">
        <v>384</v>
      </c>
    </row>
    <row r="2" spans="1:4" x14ac:dyDescent="0.35">
      <c r="A2" s="6" t="s">
        <v>198</v>
      </c>
      <c r="B2" s="6" t="s">
        <v>385</v>
      </c>
      <c r="C2" s="6" t="s">
        <v>155</v>
      </c>
      <c r="D2" s="6" t="s">
        <v>386</v>
      </c>
    </row>
    <row r="3" spans="1:4" x14ac:dyDescent="0.35">
      <c r="A3" s="6" t="s">
        <v>387</v>
      </c>
      <c r="B3" s="6" t="s">
        <v>81</v>
      </c>
      <c r="C3" s="6">
        <v>731.6</v>
      </c>
      <c r="D3" s="6"/>
    </row>
    <row r="4" spans="1:4" x14ac:dyDescent="0.35">
      <c r="A4" s="6" t="s">
        <v>388</v>
      </c>
      <c r="B4" s="6" t="s">
        <v>81</v>
      </c>
      <c r="C4" s="6">
        <v>88845</v>
      </c>
      <c r="D4" s="6"/>
    </row>
    <row r="5" spans="1:4" x14ac:dyDescent="0.35">
      <c r="A5" s="6" t="s">
        <v>389</v>
      </c>
      <c r="B5" s="6" t="s">
        <v>390</v>
      </c>
      <c r="C5" s="6">
        <v>748986.8</v>
      </c>
      <c r="D5" s="6"/>
    </row>
    <row r="6" spans="1:4" x14ac:dyDescent="0.35">
      <c r="A6" s="6" t="s">
        <v>391</v>
      </c>
      <c r="B6" s="6" t="s">
        <v>82</v>
      </c>
      <c r="C6" s="6">
        <v>632234</v>
      </c>
      <c r="D6" s="6"/>
    </row>
    <row r="7" spans="1:4" x14ac:dyDescent="0.35">
      <c r="A7" s="6" t="s">
        <v>392</v>
      </c>
      <c r="B7" s="6" t="s">
        <v>82</v>
      </c>
      <c r="C7" s="6">
        <v>6589</v>
      </c>
      <c r="D7" s="6"/>
    </row>
    <row r="8" spans="1:4" x14ac:dyDescent="0.35">
      <c r="A8" s="6" t="s">
        <v>393</v>
      </c>
      <c r="B8" s="6" t="s">
        <v>394</v>
      </c>
      <c r="C8" s="6">
        <v>589.6</v>
      </c>
      <c r="D8" s="6"/>
    </row>
    <row r="9" spans="1:4" x14ac:dyDescent="0.35">
      <c r="A9" s="6" t="s">
        <v>395</v>
      </c>
      <c r="B9" s="6" t="s">
        <v>396</v>
      </c>
      <c r="C9" s="6">
        <v>4650.8</v>
      </c>
      <c r="D9" s="6"/>
    </row>
    <row r="10" spans="1:4" x14ac:dyDescent="0.35">
      <c r="A10" s="6" t="s">
        <v>397</v>
      </c>
      <c r="B10" s="6" t="s">
        <v>86</v>
      </c>
      <c r="C10" s="6">
        <v>752897.7</v>
      </c>
      <c r="D10" s="6"/>
    </row>
    <row r="11" spans="1:4" x14ac:dyDescent="0.35">
      <c r="A11" s="6" t="s">
        <v>398</v>
      </c>
      <c r="B11" s="6" t="s">
        <v>87</v>
      </c>
      <c r="C11" s="6">
        <v>336137</v>
      </c>
      <c r="D11" s="6"/>
    </row>
    <row r="12" spans="1:4" x14ac:dyDescent="0.35">
      <c r="A12" s="6" t="s">
        <v>399</v>
      </c>
      <c r="B12" s="6" t="s">
        <v>87</v>
      </c>
      <c r="C12" s="6">
        <v>362199.6</v>
      </c>
      <c r="D12" s="6"/>
    </row>
    <row r="13" spans="1:4" x14ac:dyDescent="0.35">
      <c r="A13" s="6" t="s">
        <v>400</v>
      </c>
      <c r="B13" s="6" t="s">
        <v>90</v>
      </c>
      <c r="C13" s="6">
        <v>4220974.0999999996</v>
      </c>
      <c r="D13" s="6"/>
    </row>
    <row r="14" spans="1:4" x14ac:dyDescent="0.35">
      <c r="A14" s="6" t="s">
        <v>401</v>
      </c>
      <c r="B14" s="6" t="s">
        <v>90</v>
      </c>
      <c r="C14" s="6">
        <v>15730.7</v>
      </c>
      <c r="D14" s="6"/>
    </row>
    <row r="15" spans="1:4" x14ac:dyDescent="0.35">
      <c r="A15" s="6" t="s">
        <v>402</v>
      </c>
      <c r="B15" s="6" t="s">
        <v>90</v>
      </c>
      <c r="C15" s="6">
        <v>3712.5</v>
      </c>
      <c r="D15" s="6"/>
    </row>
    <row r="16" spans="1:4" x14ac:dyDescent="0.35">
      <c r="A16" s="6" t="s">
        <v>403</v>
      </c>
      <c r="B16" s="6" t="s">
        <v>90</v>
      </c>
      <c r="C16" s="6">
        <v>347543.2</v>
      </c>
      <c r="D16" s="6"/>
    </row>
    <row r="17" spans="1:4" x14ac:dyDescent="0.35">
      <c r="A17" s="6" t="s">
        <v>404</v>
      </c>
      <c r="B17" s="6" t="s">
        <v>90</v>
      </c>
      <c r="C17" s="6">
        <v>957242.7</v>
      </c>
      <c r="D17" s="6"/>
    </row>
    <row r="18" spans="1:4" x14ac:dyDescent="0.35">
      <c r="A18" s="6" t="s">
        <v>405</v>
      </c>
      <c r="B18" s="6" t="s">
        <v>90</v>
      </c>
      <c r="C18" s="6">
        <v>421447.7</v>
      </c>
      <c r="D18" s="6"/>
    </row>
    <row r="19" spans="1:4" x14ac:dyDescent="0.35">
      <c r="A19" s="6" t="s">
        <v>406</v>
      </c>
      <c r="B19" s="6" t="s">
        <v>90</v>
      </c>
      <c r="C19" s="6">
        <v>4939</v>
      </c>
      <c r="D19" s="6"/>
    </row>
    <row r="20" spans="1:4" x14ac:dyDescent="0.35">
      <c r="A20" s="6" t="s">
        <v>407</v>
      </c>
      <c r="B20" s="6" t="s">
        <v>90</v>
      </c>
      <c r="C20" s="6">
        <v>860940.2</v>
      </c>
      <c r="D20" s="6"/>
    </row>
    <row r="21" spans="1:4" x14ac:dyDescent="0.35">
      <c r="A21" s="6" t="s">
        <v>408</v>
      </c>
      <c r="B21" s="6" t="s">
        <v>409</v>
      </c>
      <c r="C21" s="6">
        <v>174110.7</v>
      </c>
      <c r="D21" s="6"/>
    </row>
    <row r="22" spans="1:4" x14ac:dyDescent="0.35">
      <c r="A22" s="6" t="s">
        <v>410</v>
      </c>
      <c r="B22" s="6" t="s">
        <v>91</v>
      </c>
      <c r="C22" s="6">
        <v>524744.1</v>
      </c>
      <c r="D22" s="6"/>
    </row>
    <row r="23" spans="1:4" x14ac:dyDescent="0.35">
      <c r="A23" s="6" t="s">
        <v>411</v>
      </c>
      <c r="B23" s="6" t="s">
        <v>91</v>
      </c>
      <c r="C23" s="6">
        <v>788504.9</v>
      </c>
      <c r="D23" s="6"/>
    </row>
    <row r="24" spans="1:4" x14ac:dyDescent="0.35">
      <c r="A24" s="6" t="s">
        <v>412</v>
      </c>
      <c r="B24" s="6" t="s">
        <v>91</v>
      </c>
      <c r="C24" s="6">
        <v>31997</v>
      </c>
      <c r="D24" s="6"/>
    </row>
    <row r="25" spans="1:4" x14ac:dyDescent="0.35">
      <c r="A25" s="6" t="s">
        <v>413</v>
      </c>
      <c r="B25" s="6" t="s">
        <v>91</v>
      </c>
      <c r="C25" s="6">
        <v>1025791.7</v>
      </c>
      <c r="D25" s="6"/>
    </row>
    <row r="26" spans="1:4" x14ac:dyDescent="0.35">
      <c r="A26" s="6" t="s">
        <v>414</v>
      </c>
      <c r="B26" s="6" t="s">
        <v>91</v>
      </c>
      <c r="C26" s="6">
        <v>186930</v>
      </c>
      <c r="D26" s="6"/>
    </row>
    <row r="27" spans="1:4" x14ac:dyDescent="0.35">
      <c r="A27" s="6" t="s">
        <v>415</v>
      </c>
      <c r="B27" s="6" t="s">
        <v>91</v>
      </c>
      <c r="C27" s="6">
        <v>47797.4</v>
      </c>
      <c r="D27" s="6"/>
    </row>
    <row r="28" spans="1:4" x14ac:dyDescent="0.35">
      <c r="A28" s="6" t="s">
        <v>416</v>
      </c>
      <c r="B28" s="6" t="s">
        <v>92</v>
      </c>
      <c r="C28" s="6">
        <v>25851.4</v>
      </c>
      <c r="D28" s="6"/>
    </row>
    <row r="29" spans="1:4" x14ac:dyDescent="0.35">
      <c r="A29" s="6" t="s">
        <v>417</v>
      </c>
      <c r="B29" s="6" t="s">
        <v>92</v>
      </c>
      <c r="C29" s="6">
        <v>5210.8</v>
      </c>
      <c r="D29" s="6"/>
    </row>
    <row r="30" spans="1:4" x14ac:dyDescent="0.35">
      <c r="A30" s="6" t="s">
        <v>418</v>
      </c>
      <c r="B30" s="6" t="s">
        <v>93</v>
      </c>
      <c r="C30" s="6">
        <v>275686.8</v>
      </c>
      <c r="D30" s="6"/>
    </row>
    <row r="31" spans="1:4" x14ac:dyDescent="0.35">
      <c r="A31" s="6" t="s">
        <v>419</v>
      </c>
      <c r="B31" s="6" t="s">
        <v>93</v>
      </c>
      <c r="C31" s="6">
        <v>15903.4</v>
      </c>
      <c r="D31" s="6"/>
    </row>
    <row r="32" spans="1:4" x14ac:dyDescent="0.35">
      <c r="A32" s="6" t="s">
        <v>420</v>
      </c>
      <c r="B32" s="6"/>
      <c r="C32" s="6">
        <v>12868919.4</v>
      </c>
      <c r="D32" s="6"/>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J189"/>
  <sheetViews>
    <sheetView workbookViewId="0">
      <pane ySplit="1" topLeftCell="A2" activePane="bottomLeft" state="frozen"/>
      <selection pane="bottomLeft"/>
    </sheetView>
  </sheetViews>
  <sheetFormatPr defaultRowHeight="14.5" x14ac:dyDescent="0.35"/>
  <cols>
    <col min="1" max="10" width="22" customWidth="1"/>
  </cols>
  <sheetData>
    <row r="1" spans="1:10" x14ac:dyDescent="0.35">
      <c r="A1" s="11" t="s">
        <v>421</v>
      </c>
      <c r="B1" s="11" t="s">
        <v>422</v>
      </c>
      <c r="C1" s="11" t="s">
        <v>423</v>
      </c>
      <c r="D1" s="11" t="s">
        <v>424</v>
      </c>
      <c r="E1" s="11">
        <v>2021</v>
      </c>
      <c r="F1" s="11">
        <v>2022</v>
      </c>
      <c r="G1" s="11">
        <v>2023</v>
      </c>
      <c r="H1" s="11">
        <v>2024</v>
      </c>
      <c r="I1" s="11">
        <v>2025</v>
      </c>
      <c r="J1" s="11" t="s">
        <v>425</v>
      </c>
    </row>
    <row r="2" spans="1:10" x14ac:dyDescent="0.35">
      <c r="A2" s="6" t="s">
        <v>82</v>
      </c>
      <c r="B2" s="6" t="s">
        <v>426</v>
      </c>
      <c r="C2" s="6" t="s">
        <v>427</v>
      </c>
      <c r="D2" s="6" t="s">
        <v>428</v>
      </c>
      <c r="E2" s="6">
        <v>85</v>
      </c>
      <c r="F2" s="6">
        <v>88</v>
      </c>
      <c r="G2" s="6">
        <v>91</v>
      </c>
      <c r="H2" s="6">
        <v>92</v>
      </c>
      <c r="I2" s="6">
        <v>88</v>
      </c>
      <c r="J2" s="6" t="s">
        <v>429</v>
      </c>
    </row>
    <row r="3" spans="1:10" x14ac:dyDescent="0.35">
      <c r="A3" s="6" t="s">
        <v>82</v>
      </c>
      <c r="B3" s="6" t="s">
        <v>426</v>
      </c>
      <c r="C3" s="6" t="s">
        <v>430</v>
      </c>
      <c r="D3" s="6" t="s">
        <v>431</v>
      </c>
      <c r="E3" s="6">
        <v>94</v>
      </c>
      <c r="F3" s="6">
        <v>94</v>
      </c>
      <c r="G3" s="6">
        <v>96</v>
      </c>
      <c r="H3" s="6">
        <v>95</v>
      </c>
      <c r="I3" s="6">
        <v>96</v>
      </c>
      <c r="J3" s="6" t="s">
        <v>432</v>
      </c>
    </row>
    <row r="4" spans="1:10" x14ac:dyDescent="0.35">
      <c r="A4" s="6" t="s">
        <v>82</v>
      </c>
      <c r="B4" s="6" t="s">
        <v>426</v>
      </c>
      <c r="C4" s="6" t="s">
        <v>433</v>
      </c>
      <c r="D4" s="6" t="s">
        <v>434</v>
      </c>
      <c r="E4" s="6">
        <v>90</v>
      </c>
      <c r="F4" s="6">
        <v>83</v>
      </c>
      <c r="G4" s="6">
        <v>95</v>
      </c>
      <c r="H4" s="6">
        <v>96</v>
      </c>
      <c r="I4" s="6">
        <v>96</v>
      </c>
      <c r="J4" s="6" t="s">
        <v>432</v>
      </c>
    </row>
    <row r="5" spans="1:10" x14ac:dyDescent="0.35">
      <c r="A5" s="6" t="s">
        <v>82</v>
      </c>
      <c r="B5" s="6" t="s">
        <v>426</v>
      </c>
      <c r="C5" s="6" t="s">
        <v>435</v>
      </c>
      <c r="D5" s="6" t="s">
        <v>436</v>
      </c>
      <c r="E5" s="6">
        <v>88</v>
      </c>
      <c r="F5" s="6">
        <v>90</v>
      </c>
      <c r="G5" s="6">
        <v>91</v>
      </c>
      <c r="H5" s="6">
        <v>95</v>
      </c>
      <c r="I5" s="6">
        <v>91</v>
      </c>
      <c r="J5" s="6" t="s">
        <v>432</v>
      </c>
    </row>
    <row r="6" spans="1:10" x14ac:dyDescent="0.35">
      <c r="A6" s="6" t="s">
        <v>82</v>
      </c>
      <c r="B6" s="6" t="s">
        <v>426</v>
      </c>
      <c r="C6" s="6" t="s">
        <v>437</v>
      </c>
      <c r="D6" s="6" t="s">
        <v>438</v>
      </c>
      <c r="E6" s="6">
        <v>96</v>
      </c>
      <c r="F6" s="6">
        <v>93</v>
      </c>
      <c r="G6" s="6">
        <v>93</v>
      </c>
      <c r="H6" s="6">
        <v>95</v>
      </c>
      <c r="I6" s="6">
        <v>95</v>
      </c>
      <c r="J6" s="6" t="s">
        <v>432</v>
      </c>
    </row>
    <row r="7" spans="1:10" x14ac:dyDescent="0.35">
      <c r="A7" s="6" t="s">
        <v>82</v>
      </c>
      <c r="B7" s="6" t="s">
        <v>426</v>
      </c>
      <c r="C7" s="6" t="s">
        <v>439</v>
      </c>
      <c r="D7" s="6" t="s">
        <v>440</v>
      </c>
      <c r="E7" s="6">
        <v>94</v>
      </c>
      <c r="F7" s="6">
        <v>86</v>
      </c>
      <c r="G7" s="6">
        <v>96</v>
      </c>
      <c r="H7" s="6">
        <v>94</v>
      </c>
      <c r="I7" s="6">
        <v>96</v>
      </c>
      <c r="J7" s="6" t="s">
        <v>432</v>
      </c>
    </row>
    <row r="8" spans="1:10" x14ac:dyDescent="0.35">
      <c r="A8" s="6" t="s">
        <v>82</v>
      </c>
      <c r="B8" s="6" t="s">
        <v>426</v>
      </c>
      <c r="C8" s="6" t="s">
        <v>441</v>
      </c>
      <c r="D8" s="6" t="s">
        <v>442</v>
      </c>
      <c r="E8" s="6">
        <v>86</v>
      </c>
      <c r="F8" s="6">
        <v>92</v>
      </c>
      <c r="G8" s="6">
        <v>95</v>
      </c>
      <c r="H8" s="6">
        <v>96</v>
      </c>
      <c r="I8" s="6">
        <v>96</v>
      </c>
      <c r="J8" s="6" t="s">
        <v>432</v>
      </c>
    </row>
    <row r="9" spans="1:10" x14ac:dyDescent="0.35">
      <c r="A9" s="6" t="s">
        <v>82</v>
      </c>
      <c r="B9" s="6" t="s">
        <v>426</v>
      </c>
      <c r="C9" s="6" t="s">
        <v>443</v>
      </c>
      <c r="D9" s="6" t="s">
        <v>444</v>
      </c>
      <c r="E9" s="6">
        <v>92</v>
      </c>
      <c r="F9" s="6">
        <v>92</v>
      </c>
      <c r="G9" s="6">
        <v>94</v>
      </c>
      <c r="H9" s="6">
        <v>96</v>
      </c>
      <c r="I9" s="6">
        <v>95</v>
      </c>
      <c r="J9" s="6" t="s">
        <v>432</v>
      </c>
    </row>
    <row r="10" spans="1:10" x14ac:dyDescent="0.35">
      <c r="A10" s="6" t="s">
        <v>82</v>
      </c>
      <c r="B10" s="6" t="s">
        <v>426</v>
      </c>
      <c r="C10" s="6" t="s">
        <v>445</v>
      </c>
      <c r="D10" s="6" t="s">
        <v>446</v>
      </c>
      <c r="E10" s="6">
        <v>92</v>
      </c>
      <c r="F10" s="6">
        <v>96</v>
      </c>
      <c r="G10" s="6">
        <v>96</v>
      </c>
      <c r="H10" s="6">
        <v>96</v>
      </c>
      <c r="I10" s="6">
        <v>95</v>
      </c>
      <c r="J10" s="6" t="s">
        <v>432</v>
      </c>
    </row>
    <row r="11" spans="1:10" x14ac:dyDescent="0.35">
      <c r="A11" s="6" t="s">
        <v>125</v>
      </c>
      <c r="B11" s="6" t="s">
        <v>426</v>
      </c>
      <c r="C11" s="6" t="s">
        <v>447</v>
      </c>
      <c r="D11" s="6" t="s">
        <v>448</v>
      </c>
      <c r="E11" s="6">
        <v>81</v>
      </c>
      <c r="F11" s="6">
        <v>83</v>
      </c>
      <c r="G11" s="6">
        <v>94</v>
      </c>
      <c r="H11" s="6">
        <v>91</v>
      </c>
      <c r="I11" s="6">
        <v>88</v>
      </c>
      <c r="J11" s="6" t="s">
        <v>429</v>
      </c>
    </row>
    <row r="12" spans="1:10" x14ac:dyDescent="0.35">
      <c r="A12" s="6" t="s">
        <v>125</v>
      </c>
      <c r="B12" s="6" t="s">
        <v>426</v>
      </c>
      <c r="C12" s="6" t="s">
        <v>449</v>
      </c>
      <c r="D12" s="6" t="s">
        <v>450</v>
      </c>
      <c r="E12" s="6">
        <v>72</v>
      </c>
      <c r="F12" s="6">
        <v>60</v>
      </c>
      <c r="G12" s="6">
        <v>79</v>
      </c>
      <c r="H12" s="6">
        <v>67</v>
      </c>
      <c r="I12" s="6">
        <v>84</v>
      </c>
      <c r="J12" s="6" t="s">
        <v>429</v>
      </c>
    </row>
    <row r="13" spans="1:10" x14ac:dyDescent="0.35">
      <c r="A13" s="6" t="s">
        <v>125</v>
      </c>
      <c r="B13" s="6" t="s">
        <v>426</v>
      </c>
      <c r="C13" s="6" t="s">
        <v>451</v>
      </c>
      <c r="D13" s="6" t="s">
        <v>452</v>
      </c>
      <c r="E13" s="6">
        <v>75</v>
      </c>
      <c r="F13" s="6">
        <v>86</v>
      </c>
      <c r="G13" s="6">
        <v>73</v>
      </c>
      <c r="H13" s="6">
        <v>84</v>
      </c>
      <c r="I13" s="6">
        <v>81</v>
      </c>
      <c r="J13" s="6" t="s">
        <v>429</v>
      </c>
    </row>
    <row r="14" spans="1:10" x14ac:dyDescent="0.35">
      <c r="A14" s="6" t="s">
        <v>125</v>
      </c>
      <c r="B14" s="6" t="s">
        <v>426</v>
      </c>
      <c r="C14" s="6" t="s">
        <v>453</v>
      </c>
      <c r="D14" s="6" t="s">
        <v>454</v>
      </c>
      <c r="E14" s="6">
        <v>70</v>
      </c>
      <c r="F14" s="6">
        <v>86</v>
      </c>
      <c r="G14" s="6">
        <v>90</v>
      </c>
      <c r="H14" s="6">
        <v>88</v>
      </c>
      <c r="I14" s="6">
        <v>90</v>
      </c>
      <c r="J14" s="6" t="s">
        <v>432</v>
      </c>
    </row>
    <row r="15" spans="1:10" x14ac:dyDescent="0.35">
      <c r="A15" s="6" t="s">
        <v>125</v>
      </c>
      <c r="B15" s="6" t="s">
        <v>426</v>
      </c>
      <c r="C15" s="6" t="s">
        <v>455</v>
      </c>
      <c r="D15" s="6" t="s">
        <v>456</v>
      </c>
      <c r="E15" s="6">
        <v>93</v>
      </c>
      <c r="F15" s="6">
        <v>95</v>
      </c>
      <c r="G15" s="6">
        <v>93</v>
      </c>
      <c r="H15" s="6">
        <v>93</v>
      </c>
      <c r="I15" s="6">
        <v>88</v>
      </c>
      <c r="J15" s="6" t="s">
        <v>429</v>
      </c>
    </row>
    <row r="16" spans="1:10" x14ac:dyDescent="0.35">
      <c r="A16" s="6" t="s">
        <v>125</v>
      </c>
      <c r="B16" s="6" t="s">
        <v>426</v>
      </c>
      <c r="C16" s="6" t="s">
        <v>457</v>
      </c>
      <c r="D16" s="6" t="s">
        <v>458</v>
      </c>
      <c r="E16" s="6">
        <v>83</v>
      </c>
      <c r="F16" s="6">
        <v>82</v>
      </c>
      <c r="G16" s="6">
        <v>93</v>
      </c>
      <c r="H16" s="6">
        <v>85</v>
      </c>
      <c r="I16" s="6">
        <v>86</v>
      </c>
      <c r="J16" s="6" t="s">
        <v>429</v>
      </c>
    </row>
    <row r="17" spans="1:10" x14ac:dyDescent="0.35">
      <c r="A17" s="6" t="s">
        <v>125</v>
      </c>
      <c r="B17" s="6" t="s">
        <v>426</v>
      </c>
      <c r="C17" s="6" t="s">
        <v>459</v>
      </c>
      <c r="D17" s="6" t="s">
        <v>460</v>
      </c>
      <c r="E17" s="6">
        <v>81</v>
      </c>
      <c r="F17" s="6">
        <v>88</v>
      </c>
      <c r="G17" s="6">
        <v>94</v>
      </c>
      <c r="H17" s="6">
        <v>91</v>
      </c>
      <c r="I17" s="6">
        <v>94</v>
      </c>
      <c r="J17" s="6" t="s">
        <v>432</v>
      </c>
    </row>
    <row r="18" spans="1:10" x14ac:dyDescent="0.35">
      <c r="A18" s="6" t="s">
        <v>125</v>
      </c>
      <c r="B18" s="6" t="s">
        <v>426</v>
      </c>
      <c r="C18" s="6" t="s">
        <v>461</v>
      </c>
      <c r="D18" s="6" t="s">
        <v>462</v>
      </c>
      <c r="E18" s="6">
        <v>60</v>
      </c>
      <c r="F18" s="6">
        <v>79</v>
      </c>
      <c r="G18" s="6">
        <v>73</v>
      </c>
      <c r="H18" s="6">
        <v>84</v>
      </c>
      <c r="I18" s="6">
        <v>71</v>
      </c>
      <c r="J18" s="6" t="s">
        <v>463</v>
      </c>
    </row>
    <row r="19" spans="1:10" x14ac:dyDescent="0.35">
      <c r="A19" s="6" t="s">
        <v>125</v>
      </c>
      <c r="B19" s="6" t="s">
        <v>426</v>
      </c>
      <c r="C19" s="6" t="s">
        <v>464</v>
      </c>
      <c r="D19" s="6" t="s">
        <v>465</v>
      </c>
      <c r="E19" s="6">
        <v>68</v>
      </c>
      <c r="F19" s="6">
        <v>76</v>
      </c>
      <c r="G19" s="6">
        <v>88</v>
      </c>
      <c r="H19" s="6">
        <v>83</v>
      </c>
      <c r="I19" s="6">
        <v>81</v>
      </c>
      <c r="J19" s="6" t="s">
        <v>429</v>
      </c>
    </row>
    <row r="20" spans="1:10" x14ac:dyDescent="0.35">
      <c r="A20" s="6" t="s">
        <v>125</v>
      </c>
      <c r="B20" s="6" t="s">
        <v>426</v>
      </c>
      <c r="C20" s="6" t="s">
        <v>466</v>
      </c>
      <c r="D20" s="6" t="s">
        <v>467</v>
      </c>
      <c r="E20" s="6">
        <v>65</v>
      </c>
      <c r="F20" s="6">
        <v>59</v>
      </c>
      <c r="G20" s="6">
        <v>67</v>
      </c>
      <c r="H20" s="6">
        <v>72</v>
      </c>
      <c r="I20" s="6">
        <v>69</v>
      </c>
      <c r="J20" s="6" t="s">
        <v>463</v>
      </c>
    </row>
    <row r="21" spans="1:10" x14ac:dyDescent="0.35">
      <c r="A21" s="6" t="s">
        <v>125</v>
      </c>
      <c r="B21" s="6" t="s">
        <v>426</v>
      </c>
      <c r="C21" s="6" t="s">
        <v>468</v>
      </c>
      <c r="D21" s="6" t="s">
        <v>469</v>
      </c>
      <c r="E21" s="6">
        <v>59</v>
      </c>
      <c r="F21" s="6">
        <v>59</v>
      </c>
      <c r="G21" s="6">
        <v>59</v>
      </c>
      <c r="H21" s="6">
        <v>57</v>
      </c>
      <c r="I21" s="6">
        <v>57</v>
      </c>
      <c r="J21" s="6" t="s">
        <v>463</v>
      </c>
    </row>
    <row r="22" spans="1:10" x14ac:dyDescent="0.35">
      <c r="A22" s="6" t="s">
        <v>125</v>
      </c>
      <c r="B22" s="6" t="s">
        <v>426</v>
      </c>
      <c r="C22" s="6" t="s">
        <v>470</v>
      </c>
      <c r="D22" s="6" t="s">
        <v>471</v>
      </c>
      <c r="E22" s="6">
        <v>67</v>
      </c>
      <c r="F22" s="6">
        <v>72</v>
      </c>
      <c r="G22" s="6">
        <v>90</v>
      </c>
      <c r="H22" s="6">
        <v>80</v>
      </c>
      <c r="I22" s="6">
        <v>89</v>
      </c>
      <c r="J22" s="6" t="s">
        <v>429</v>
      </c>
    </row>
    <row r="23" spans="1:10" x14ac:dyDescent="0.35">
      <c r="A23" s="6" t="s">
        <v>125</v>
      </c>
      <c r="B23" s="6" t="s">
        <v>426</v>
      </c>
      <c r="C23" s="6" t="s">
        <v>472</v>
      </c>
      <c r="D23" s="6" t="s">
        <v>473</v>
      </c>
      <c r="E23" s="6">
        <v>70</v>
      </c>
      <c r="F23" s="6">
        <v>63</v>
      </c>
      <c r="G23" s="6">
        <v>69</v>
      </c>
      <c r="H23" s="6">
        <v>87</v>
      </c>
      <c r="I23" s="6">
        <v>76</v>
      </c>
      <c r="J23" s="6" t="s">
        <v>463</v>
      </c>
    </row>
    <row r="24" spans="1:10" x14ac:dyDescent="0.35">
      <c r="A24" s="6" t="s">
        <v>125</v>
      </c>
      <c r="B24" s="6" t="s">
        <v>426</v>
      </c>
      <c r="C24" s="6" t="s">
        <v>474</v>
      </c>
      <c r="D24" s="6" t="s">
        <v>475</v>
      </c>
      <c r="E24" s="6">
        <v>69</v>
      </c>
      <c r="F24" s="6">
        <v>58</v>
      </c>
      <c r="G24" s="6">
        <v>72</v>
      </c>
      <c r="H24" s="6">
        <v>71</v>
      </c>
      <c r="I24" s="6">
        <v>57</v>
      </c>
      <c r="J24" s="6" t="s">
        <v>463</v>
      </c>
    </row>
    <row r="25" spans="1:10" x14ac:dyDescent="0.35">
      <c r="A25" s="6" t="s">
        <v>125</v>
      </c>
      <c r="B25" s="6" t="s">
        <v>426</v>
      </c>
      <c r="C25" s="6" t="s">
        <v>476</v>
      </c>
      <c r="D25" s="6" t="s">
        <v>477</v>
      </c>
      <c r="E25" s="6">
        <v>86</v>
      </c>
      <c r="F25" s="6">
        <v>92</v>
      </c>
      <c r="G25" s="6">
        <v>92</v>
      </c>
      <c r="H25" s="6">
        <v>91</v>
      </c>
      <c r="I25" s="6">
        <v>90</v>
      </c>
      <c r="J25" s="6" t="s">
        <v>432</v>
      </c>
    </row>
    <row r="26" spans="1:10" x14ac:dyDescent="0.35">
      <c r="A26" s="6" t="s">
        <v>125</v>
      </c>
      <c r="B26" s="6" t="s">
        <v>426</v>
      </c>
      <c r="C26" s="6" t="s">
        <v>478</v>
      </c>
      <c r="D26" s="6" t="s">
        <v>479</v>
      </c>
      <c r="E26" s="6">
        <v>90</v>
      </c>
      <c r="F26" s="6">
        <v>94</v>
      </c>
      <c r="G26" s="6">
        <v>94</v>
      </c>
      <c r="H26" s="6">
        <v>93</v>
      </c>
      <c r="I26" s="6">
        <v>91</v>
      </c>
      <c r="J26" s="6" t="s">
        <v>432</v>
      </c>
    </row>
    <row r="27" spans="1:10" x14ac:dyDescent="0.35">
      <c r="A27" s="6" t="s">
        <v>125</v>
      </c>
      <c r="B27" s="6" t="s">
        <v>426</v>
      </c>
      <c r="C27" s="6" t="s">
        <v>480</v>
      </c>
      <c r="D27" s="6" t="s">
        <v>481</v>
      </c>
      <c r="E27" s="6">
        <v>91</v>
      </c>
      <c r="F27" s="6">
        <v>91</v>
      </c>
      <c r="G27" s="6">
        <v>92</v>
      </c>
      <c r="H27" s="6">
        <v>91</v>
      </c>
      <c r="I27" s="6">
        <v>93</v>
      </c>
      <c r="J27" s="6" t="s">
        <v>432</v>
      </c>
    </row>
    <row r="28" spans="1:10" x14ac:dyDescent="0.35">
      <c r="A28" s="6" t="s">
        <v>87</v>
      </c>
      <c r="B28" s="6" t="s">
        <v>426</v>
      </c>
      <c r="C28" s="6" t="s">
        <v>482</v>
      </c>
      <c r="D28" s="6" t="s">
        <v>483</v>
      </c>
      <c r="E28" s="6">
        <v>95</v>
      </c>
      <c r="F28" s="6">
        <v>94</v>
      </c>
      <c r="G28" s="6">
        <v>92</v>
      </c>
      <c r="H28" s="6">
        <v>95</v>
      </c>
      <c r="I28" s="6">
        <v>95</v>
      </c>
      <c r="J28" s="6" t="s">
        <v>432</v>
      </c>
    </row>
    <row r="29" spans="1:10" x14ac:dyDescent="0.35">
      <c r="A29" s="6" t="s">
        <v>87</v>
      </c>
      <c r="B29" s="6" t="s">
        <v>426</v>
      </c>
      <c r="C29" s="6" t="s">
        <v>484</v>
      </c>
      <c r="D29" s="6" t="s">
        <v>485</v>
      </c>
      <c r="E29" s="6">
        <v>94</v>
      </c>
      <c r="F29" s="6">
        <v>92</v>
      </c>
      <c r="G29" s="6">
        <v>93</v>
      </c>
      <c r="H29" s="6">
        <v>95</v>
      </c>
      <c r="I29" s="6">
        <v>91</v>
      </c>
      <c r="J29" s="6" t="s">
        <v>432</v>
      </c>
    </row>
    <row r="30" spans="1:10" x14ac:dyDescent="0.35">
      <c r="A30" s="6" t="s">
        <v>87</v>
      </c>
      <c r="B30" s="6" t="s">
        <v>426</v>
      </c>
      <c r="C30" s="6" t="s">
        <v>486</v>
      </c>
      <c r="D30" s="6" t="s">
        <v>487</v>
      </c>
      <c r="E30" s="6">
        <v>78</v>
      </c>
      <c r="F30" s="6">
        <v>89</v>
      </c>
      <c r="G30" s="6">
        <v>92</v>
      </c>
      <c r="H30" s="6">
        <v>95</v>
      </c>
      <c r="I30" s="6">
        <v>95</v>
      </c>
      <c r="J30" s="6" t="s">
        <v>432</v>
      </c>
    </row>
    <row r="31" spans="1:10" x14ac:dyDescent="0.35">
      <c r="A31" s="6" t="s">
        <v>87</v>
      </c>
      <c r="B31" s="6" t="s">
        <v>426</v>
      </c>
      <c r="C31" s="6" t="s">
        <v>488</v>
      </c>
      <c r="D31" s="6" t="s">
        <v>489</v>
      </c>
      <c r="E31" s="6">
        <v>93</v>
      </c>
      <c r="F31" s="6">
        <v>94</v>
      </c>
      <c r="G31" s="6">
        <v>93</v>
      </c>
      <c r="H31" s="6">
        <v>96</v>
      </c>
      <c r="I31" s="6">
        <v>92</v>
      </c>
      <c r="J31" s="6" t="s">
        <v>432</v>
      </c>
    </row>
    <row r="32" spans="1:10" x14ac:dyDescent="0.35">
      <c r="A32" s="6" t="s">
        <v>87</v>
      </c>
      <c r="B32" s="6" t="s">
        <v>426</v>
      </c>
      <c r="C32" s="6" t="s">
        <v>490</v>
      </c>
      <c r="D32" s="6" t="s">
        <v>491</v>
      </c>
      <c r="E32" s="6">
        <v>90</v>
      </c>
      <c r="F32" s="6">
        <v>81</v>
      </c>
      <c r="G32" s="6">
        <v>88</v>
      </c>
      <c r="H32" s="6">
        <v>96</v>
      </c>
      <c r="I32" s="6">
        <v>95</v>
      </c>
      <c r="J32" s="6" t="s">
        <v>432</v>
      </c>
    </row>
    <row r="33" spans="1:10" x14ac:dyDescent="0.35">
      <c r="A33" s="6" t="s">
        <v>87</v>
      </c>
      <c r="B33" s="6" t="s">
        <v>426</v>
      </c>
      <c r="C33" s="6" t="s">
        <v>492</v>
      </c>
      <c r="D33" s="6" t="s">
        <v>493</v>
      </c>
      <c r="E33" s="6">
        <v>94</v>
      </c>
      <c r="F33" s="6">
        <v>91</v>
      </c>
      <c r="G33" s="6">
        <v>93</v>
      </c>
      <c r="H33" s="6">
        <v>95</v>
      </c>
      <c r="I33" s="6">
        <v>91</v>
      </c>
      <c r="J33" s="6" t="s">
        <v>432</v>
      </c>
    </row>
    <row r="34" spans="1:10" x14ac:dyDescent="0.35">
      <c r="A34" s="6" t="s">
        <v>87</v>
      </c>
      <c r="B34" s="6" t="s">
        <v>426</v>
      </c>
      <c r="C34" s="6" t="s">
        <v>494</v>
      </c>
      <c r="D34" s="6" t="s">
        <v>495</v>
      </c>
      <c r="E34" s="6">
        <v>90</v>
      </c>
      <c r="F34" s="6">
        <v>93</v>
      </c>
      <c r="G34" s="6">
        <v>95</v>
      </c>
      <c r="H34" s="6">
        <v>95</v>
      </c>
      <c r="I34" s="6">
        <v>92</v>
      </c>
      <c r="J34" s="6" t="s">
        <v>432</v>
      </c>
    </row>
    <row r="35" spans="1:10" x14ac:dyDescent="0.35">
      <c r="A35" s="6" t="s">
        <v>87</v>
      </c>
      <c r="B35" s="6" t="s">
        <v>426</v>
      </c>
      <c r="C35" s="6" t="s">
        <v>455</v>
      </c>
      <c r="D35" s="6" t="s">
        <v>496</v>
      </c>
      <c r="E35" s="6">
        <v>91</v>
      </c>
      <c r="F35" s="6">
        <v>95</v>
      </c>
      <c r="G35" s="6">
        <v>94</v>
      </c>
      <c r="H35" s="6">
        <v>95</v>
      </c>
      <c r="I35" s="6">
        <v>96</v>
      </c>
      <c r="J35" s="6" t="s">
        <v>432</v>
      </c>
    </row>
    <row r="36" spans="1:10" x14ac:dyDescent="0.35">
      <c r="A36" s="6" t="s">
        <v>92</v>
      </c>
      <c r="B36" s="6" t="s">
        <v>426</v>
      </c>
      <c r="C36" s="6" t="s">
        <v>497</v>
      </c>
      <c r="D36" s="6" t="s">
        <v>498</v>
      </c>
      <c r="E36" s="6">
        <v>84</v>
      </c>
      <c r="F36" s="6">
        <v>84</v>
      </c>
      <c r="G36" s="6">
        <v>89</v>
      </c>
      <c r="H36" s="6">
        <v>86</v>
      </c>
      <c r="I36" s="6">
        <v>91</v>
      </c>
      <c r="J36" s="6" t="s">
        <v>432</v>
      </c>
    </row>
    <row r="37" spans="1:10" x14ac:dyDescent="0.35">
      <c r="A37" s="6" t="s">
        <v>92</v>
      </c>
      <c r="B37" s="6" t="s">
        <v>426</v>
      </c>
      <c r="C37" s="6" t="s">
        <v>499</v>
      </c>
      <c r="D37" s="6" t="s">
        <v>500</v>
      </c>
      <c r="E37" s="6">
        <v>68</v>
      </c>
      <c r="F37" s="6">
        <v>84</v>
      </c>
      <c r="G37" s="6">
        <v>88</v>
      </c>
      <c r="H37" s="6">
        <v>85</v>
      </c>
      <c r="I37" s="6">
        <v>72</v>
      </c>
      <c r="J37" s="6" t="s">
        <v>463</v>
      </c>
    </row>
    <row r="38" spans="1:10" x14ac:dyDescent="0.35">
      <c r="A38" s="6" t="s">
        <v>92</v>
      </c>
      <c r="B38" s="6" t="s">
        <v>426</v>
      </c>
      <c r="C38" s="6" t="s">
        <v>501</v>
      </c>
      <c r="D38" s="6" t="s">
        <v>502</v>
      </c>
      <c r="E38" s="6">
        <v>87</v>
      </c>
      <c r="F38" s="6">
        <v>91</v>
      </c>
      <c r="G38" s="6">
        <v>95</v>
      </c>
      <c r="H38" s="6">
        <v>89</v>
      </c>
      <c r="I38" s="6">
        <v>71</v>
      </c>
      <c r="J38" s="6" t="s">
        <v>463</v>
      </c>
    </row>
    <row r="39" spans="1:10" x14ac:dyDescent="0.35">
      <c r="A39" s="6" t="s">
        <v>92</v>
      </c>
      <c r="B39" s="6" t="s">
        <v>426</v>
      </c>
      <c r="C39" s="6" t="s">
        <v>503</v>
      </c>
      <c r="D39" s="6" t="s">
        <v>504</v>
      </c>
      <c r="E39" s="6">
        <v>62</v>
      </c>
      <c r="F39" s="6">
        <v>56</v>
      </c>
      <c r="G39" s="6">
        <v>79</v>
      </c>
      <c r="H39" s="6">
        <v>56</v>
      </c>
      <c r="I39" s="6">
        <v>55</v>
      </c>
      <c r="J39" s="6" t="s">
        <v>463</v>
      </c>
    </row>
    <row r="40" spans="1:10" x14ac:dyDescent="0.35">
      <c r="A40" s="6" t="s">
        <v>92</v>
      </c>
      <c r="B40" s="6" t="s">
        <v>426</v>
      </c>
      <c r="C40" s="6" t="s">
        <v>505</v>
      </c>
      <c r="D40" s="6" t="s">
        <v>506</v>
      </c>
      <c r="E40" s="6">
        <v>83</v>
      </c>
      <c r="F40" s="6">
        <v>79</v>
      </c>
      <c r="G40" s="6">
        <v>92</v>
      </c>
      <c r="H40" s="6">
        <v>84</v>
      </c>
      <c r="I40" s="6">
        <v>80</v>
      </c>
      <c r="J40" s="6" t="s">
        <v>429</v>
      </c>
    </row>
    <row r="41" spans="1:10" x14ac:dyDescent="0.35">
      <c r="A41" s="6" t="s">
        <v>92</v>
      </c>
      <c r="B41" s="6" t="s">
        <v>426</v>
      </c>
      <c r="C41" s="6" t="s">
        <v>507</v>
      </c>
      <c r="D41" s="6" t="s">
        <v>508</v>
      </c>
      <c r="E41" s="6">
        <v>74</v>
      </c>
      <c r="F41" s="6">
        <v>69</v>
      </c>
      <c r="G41" s="6">
        <v>82</v>
      </c>
      <c r="H41" s="6">
        <v>66</v>
      </c>
      <c r="I41" s="6">
        <v>68</v>
      </c>
      <c r="J41" s="6" t="s">
        <v>463</v>
      </c>
    </row>
    <row r="42" spans="1:10" x14ac:dyDescent="0.35">
      <c r="A42" s="6" t="s">
        <v>123</v>
      </c>
      <c r="B42" s="6" t="s">
        <v>426</v>
      </c>
      <c r="C42" s="6" t="s">
        <v>509</v>
      </c>
      <c r="D42" s="6" t="s">
        <v>510</v>
      </c>
      <c r="E42" s="6">
        <v>91</v>
      </c>
      <c r="F42" s="6">
        <v>90</v>
      </c>
      <c r="G42" s="6">
        <v>95</v>
      </c>
      <c r="H42" s="6">
        <v>95</v>
      </c>
      <c r="I42" s="6">
        <v>90</v>
      </c>
      <c r="J42" s="6" t="s">
        <v>432</v>
      </c>
    </row>
    <row r="43" spans="1:10" x14ac:dyDescent="0.35">
      <c r="A43" s="6" t="s">
        <v>123</v>
      </c>
      <c r="B43" s="6" t="s">
        <v>426</v>
      </c>
      <c r="C43" s="6" t="s">
        <v>511</v>
      </c>
      <c r="D43" s="6" t="s">
        <v>512</v>
      </c>
      <c r="E43" s="6">
        <v>87</v>
      </c>
      <c r="F43" s="6">
        <v>94</v>
      </c>
      <c r="G43" s="6">
        <v>89</v>
      </c>
      <c r="H43" s="6">
        <v>91</v>
      </c>
      <c r="I43" s="6">
        <v>90</v>
      </c>
      <c r="J43" s="6" t="s">
        <v>432</v>
      </c>
    </row>
    <row r="44" spans="1:10" x14ac:dyDescent="0.35">
      <c r="A44" s="6" t="s">
        <v>123</v>
      </c>
      <c r="B44" s="6" t="s">
        <v>426</v>
      </c>
      <c r="C44" s="6" t="s">
        <v>513</v>
      </c>
      <c r="D44" s="6" t="s">
        <v>514</v>
      </c>
      <c r="E44" s="6">
        <v>88</v>
      </c>
      <c r="F44" s="6">
        <v>88</v>
      </c>
      <c r="G44" s="6">
        <v>93</v>
      </c>
      <c r="H44" s="6">
        <v>95</v>
      </c>
      <c r="I44" s="6">
        <v>91</v>
      </c>
      <c r="J44" s="6" t="s">
        <v>432</v>
      </c>
    </row>
    <row r="45" spans="1:10" x14ac:dyDescent="0.35">
      <c r="A45" s="6" t="s">
        <v>123</v>
      </c>
      <c r="B45" s="6" t="s">
        <v>426</v>
      </c>
      <c r="C45" s="6" t="s">
        <v>515</v>
      </c>
      <c r="D45" s="6" t="s">
        <v>516</v>
      </c>
      <c r="E45" s="6">
        <v>88</v>
      </c>
      <c r="F45" s="6">
        <v>89</v>
      </c>
      <c r="G45" s="6">
        <v>89</v>
      </c>
      <c r="H45" s="6">
        <v>95</v>
      </c>
      <c r="I45" s="6">
        <v>92</v>
      </c>
      <c r="J45" s="6" t="s">
        <v>432</v>
      </c>
    </row>
    <row r="46" spans="1:10" x14ac:dyDescent="0.35">
      <c r="A46" s="6" t="s">
        <v>123</v>
      </c>
      <c r="B46" s="6" t="s">
        <v>426</v>
      </c>
      <c r="C46" s="6" t="s">
        <v>517</v>
      </c>
      <c r="D46" s="6" t="s">
        <v>518</v>
      </c>
      <c r="E46" s="6">
        <v>73</v>
      </c>
      <c r="F46" s="6">
        <v>81</v>
      </c>
      <c r="G46" s="6">
        <v>94</v>
      </c>
      <c r="H46" s="6">
        <v>95</v>
      </c>
      <c r="I46" s="6">
        <v>89</v>
      </c>
      <c r="J46" s="6" t="s">
        <v>429</v>
      </c>
    </row>
    <row r="47" spans="1:10" x14ac:dyDescent="0.35">
      <c r="A47" s="6" t="s">
        <v>123</v>
      </c>
      <c r="B47" s="6" t="s">
        <v>426</v>
      </c>
      <c r="C47" s="6" t="s">
        <v>519</v>
      </c>
      <c r="D47" s="6" t="s">
        <v>520</v>
      </c>
      <c r="E47" s="6">
        <v>90</v>
      </c>
      <c r="F47" s="6">
        <v>93</v>
      </c>
      <c r="G47" s="6">
        <v>96</v>
      </c>
      <c r="H47" s="6">
        <v>93</v>
      </c>
      <c r="I47" s="6">
        <v>91</v>
      </c>
      <c r="J47" s="6" t="s">
        <v>432</v>
      </c>
    </row>
    <row r="48" spans="1:10" x14ac:dyDescent="0.35">
      <c r="A48" s="6" t="s">
        <v>123</v>
      </c>
      <c r="B48" s="6" t="s">
        <v>426</v>
      </c>
      <c r="C48" s="6" t="s">
        <v>521</v>
      </c>
      <c r="D48" s="6" t="s">
        <v>522</v>
      </c>
      <c r="E48" s="6">
        <v>93</v>
      </c>
      <c r="F48" s="6">
        <v>95</v>
      </c>
      <c r="G48" s="6">
        <v>94</v>
      </c>
      <c r="H48" s="6">
        <v>93</v>
      </c>
      <c r="I48" s="6">
        <v>92</v>
      </c>
      <c r="J48" s="6" t="s">
        <v>432</v>
      </c>
    </row>
    <row r="49" spans="1:10" x14ac:dyDescent="0.35">
      <c r="A49" s="6" t="s">
        <v>123</v>
      </c>
      <c r="B49" s="6" t="s">
        <v>426</v>
      </c>
      <c r="C49" s="6" t="s">
        <v>523</v>
      </c>
      <c r="D49" s="6" t="s">
        <v>524</v>
      </c>
      <c r="E49" s="6">
        <v>93</v>
      </c>
      <c r="F49" s="6">
        <v>95</v>
      </c>
      <c r="G49" s="6">
        <v>95</v>
      </c>
      <c r="H49" s="6">
        <v>94</v>
      </c>
      <c r="I49" s="6">
        <v>95</v>
      </c>
      <c r="J49" s="6" t="s">
        <v>432</v>
      </c>
    </row>
    <row r="50" spans="1:10" x14ac:dyDescent="0.35">
      <c r="A50" s="6" t="s">
        <v>123</v>
      </c>
      <c r="B50" s="6" t="s">
        <v>426</v>
      </c>
      <c r="C50" s="6" t="s">
        <v>525</v>
      </c>
      <c r="D50" s="6" t="s">
        <v>526</v>
      </c>
      <c r="E50" s="6">
        <v>92</v>
      </c>
      <c r="F50" s="6">
        <v>97</v>
      </c>
      <c r="G50" s="6">
        <v>95</v>
      </c>
      <c r="H50" s="6">
        <v>95</v>
      </c>
      <c r="I50" s="6">
        <v>91</v>
      </c>
      <c r="J50" s="6" t="s">
        <v>432</v>
      </c>
    </row>
    <row r="51" spans="1:10" x14ac:dyDescent="0.35">
      <c r="A51" s="6" t="s">
        <v>123</v>
      </c>
      <c r="B51" s="6" t="s">
        <v>426</v>
      </c>
      <c r="C51" s="6" t="s">
        <v>527</v>
      </c>
      <c r="D51" s="6" t="s">
        <v>528</v>
      </c>
      <c r="E51" s="6">
        <v>70</v>
      </c>
      <c r="F51" s="6">
        <v>90</v>
      </c>
      <c r="G51" s="6">
        <v>93</v>
      </c>
      <c r="H51" s="6">
        <v>95</v>
      </c>
      <c r="I51" s="6">
        <v>91</v>
      </c>
      <c r="J51" s="6" t="s">
        <v>432</v>
      </c>
    </row>
    <row r="52" spans="1:10" x14ac:dyDescent="0.35">
      <c r="A52" s="6" t="s">
        <v>123</v>
      </c>
      <c r="B52" s="6" t="s">
        <v>426</v>
      </c>
      <c r="C52" s="6" t="s">
        <v>529</v>
      </c>
      <c r="D52" s="6" t="s">
        <v>530</v>
      </c>
      <c r="E52" s="6">
        <v>91</v>
      </c>
      <c r="F52" s="6">
        <v>94</v>
      </c>
      <c r="G52" s="6">
        <v>92</v>
      </c>
      <c r="H52" s="6">
        <v>93</v>
      </c>
      <c r="I52" s="6">
        <v>91</v>
      </c>
      <c r="J52" s="6" t="s">
        <v>432</v>
      </c>
    </row>
    <row r="53" spans="1:10" x14ac:dyDescent="0.35">
      <c r="A53" s="6" t="s">
        <v>123</v>
      </c>
      <c r="B53" s="6" t="s">
        <v>426</v>
      </c>
      <c r="C53" s="6" t="s">
        <v>531</v>
      </c>
      <c r="D53" s="6" t="s">
        <v>532</v>
      </c>
      <c r="E53" s="6">
        <v>94</v>
      </c>
      <c r="F53" s="6">
        <v>94</v>
      </c>
      <c r="G53" s="6">
        <v>94</v>
      </c>
      <c r="H53" s="6">
        <v>92</v>
      </c>
      <c r="I53" s="6">
        <v>94</v>
      </c>
      <c r="J53" s="6" t="s">
        <v>432</v>
      </c>
    </row>
    <row r="54" spans="1:10" x14ac:dyDescent="0.35">
      <c r="A54" s="6" t="s">
        <v>123</v>
      </c>
      <c r="B54" s="6" t="s">
        <v>426</v>
      </c>
      <c r="C54" s="6" t="s">
        <v>533</v>
      </c>
      <c r="D54" s="6" t="s">
        <v>534</v>
      </c>
      <c r="E54" s="6">
        <v>91</v>
      </c>
      <c r="F54" s="6">
        <v>95</v>
      </c>
      <c r="G54" s="6">
        <v>95</v>
      </c>
      <c r="H54" s="6">
        <v>94</v>
      </c>
      <c r="I54" s="6">
        <v>94</v>
      </c>
      <c r="J54" s="6" t="s">
        <v>432</v>
      </c>
    </row>
    <row r="55" spans="1:10" x14ac:dyDescent="0.35">
      <c r="A55" s="6" t="s">
        <v>123</v>
      </c>
      <c r="B55" s="6" t="s">
        <v>426</v>
      </c>
      <c r="C55" s="6" t="s">
        <v>535</v>
      </c>
      <c r="D55" s="6" t="s">
        <v>536</v>
      </c>
      <c r="E55" s="6">
        <v>92</v>
      </c>
      <c r="F55" s="6">
        <v>96</v>
      </c>
      <c r="G55" s="6">
        <v>92</v>
      </c>
      <c r="H55" s="6">
        <v>95</v>
      </c>
      <c r="I55" s="6">
        <v>95</v>
      </c>
      <c r="J55" s="6" t="s">
        <v>432</v>
      </c>
    </row>
    <row r="56" spans="1:10" x14ac:dyDescent="0.35">
      <c r="A56" s="6" t="s">
        <v>84</v>
      </c>
      <c r="B56" s="6" t="s">
        <v>426</v>
      </c>
      <c r="C56" s="6" t="s">
        <v>537</v>
      </c>
      <c r="D56" s="6" t="s">
        <v>538</v>
      </c>
      <c r="E56" s="6">
        <v>88</v>
      </c>
      <c r="F56" s="6">
        <v>88</v>
      </c>
      <c r="G56" s="6">
        <v>91</v>
      </c>
      <c r="H56" s="6">
        <v>93</v>
      </c>
      <c r="I56" s="6">
        <v>87</v>
      </c>
      <c r="J56" s="6" t="s">
        <v>429</v>
      </c>
    </row>
    <row r="57" spans="1:10" x14ac:dyDescent="0.35">
      <c r="A57" s="6" t="s">
        <v>84</v>
      </c>
      <c r="B57" s="6" t="s">
        <v>426</v>
      </c>
      <c r="C57" s="6" t="s">
        <v>539</v>
      </c>
      <c r="D57" s="6" t="s">
        <v>540</v>
      </c>
      <c r="E57" s="6">
        <v>89</v>
      </c>
      <c r="F57" s="6">
        <v>83</v>
      </c>
      <c r="G57" s="6">
        <v>89</v>
      </c>
      <c r="H57" s="6">
        <v>90</v>
      </c>
      <c r="I57" s="6">
        <v>90</v>
      </c>
      <c r="J57" s="6" t="s">
        <v>432</v>
      </c>
    </row>
    <row r="58" spans="1:10" x14ac:dyDescent="0.35">
      <c r="A58" s="6" t="s">
        <v>84</v>
      </c>
      <c r="B58" s="6" t="s">
        <v>426</v>
      </c>
      <c r="C58" s="6" t="s">
        <v>541</v>
      </c>
      <c r="D58" s="6" t="s">
        <v>542</v>
      </c>
      <c r="E58" s="6">
        <v>69</v>
      </c>
      <c r="F58" s="6">
        <v>87</v>
      </c>
      <c r="G58" s="6">
        <v>92</v>
      </c>
      <c r="H58" s="6">
        <v>94</v>
      </c>
      <c r="I58" s="6">
        <v>86</v>
      </c>
      <c r="J58" s="6" t="s">
        <v>429</v>
      </c>
    </row>
    <row r="59" spans="1:10" x14ac:dyDescent="0.35">
      <c r="A59" s="6" t="s">
        <v>84</v>
      </c>
      <c r="B59" s="6" t="s">
        <v>426</v>
      </c>
      <c r="C59" s="6" t="s">
        <v>543</v>
      </c>
      <c r="D59" s="6" t="s">
        <v>544</v>
      </c>
      <c r="E59" s="6">
        <v>60</v>
      </c>
      <c r="F59" s="6">
        <v>90</v>
      </c>
      <c r="G59" s="6">
        <v>90</v>
      </c>
      <c r="H59" s="6">
        <v>92</v>
      </c>
      <c r="I59" s="6">
        <v>85</v>
      </c>
      <c r="J59" s="6" t="s">
        <v>429</v>
      </c>
    </row>
    <row r="60" spans="1:10" x14ac:dyDescent="0.35">
      <c r="A60" s="6" t="s">
        <v>84</v>
      </c>
      <c r="B60" s="6" t="s">
        <v>426</v>
      </c>
      <c r="C60" s="6" t="s">
        <v>545</v>
      </c>
      <c r="D60" s="6" t="s">
        <v>546</v>
      </c>
      <c r="E60" s="6">
        <v>89</v>
      </c>
      <c r="F60" s="6">
        <v>83</v>
      </c>
      <c r="G60" s="6">
        <v>88</v>
      </c>
      <c r="H60" s="6">
        <v>88</v>
      </c>
      <c r="I60" s="6">
        <v>82</v>
      </c>
      <c r="J60" s="6" t="s">
        <v>429</v>
      </c>
    </row>
    <row r="61" spans="1:10" x14ac:dyDescent="0.35">
      <c r="A61" s="6" t="s">
        <v>84</v>
      </c>
      <c r="B61" s="6" t="s">
        <v>426</v>
      </c>
      <c r="C61" s="6" t="s">
        <v>547</v>
      </c>
      <c r="D61" s="6" t="s">
        <v>548</v>
      </c>
      <c r="E61" s="6">
        <v>80</v>
      </c>
      <c r="F61" s="6">
        <v>83</v>
      </c>
      <c r="G61" s="6">
        <v>92</v>
      </c>
      <c r="H61" s="6">
        <v>88</v>
      </c>
      <c r="I61" s="6">
        <v>90</v>
      </c>
      <c r="J61" s="6" t="s">
        <v>432</v>
      </c>
    </row>
    <row r="62" spans="1:10" x14ac:dyDescent="0.35">
      <c r="A62" s="6" t="s">
        <v>84</v>
      </c>
      <c r="B62" s="6" t="s">
        <v>426</v>
      </c>
      <c r="C62" s="6" t="s">
        <v>549</v>
      </c>
      <c r="D62" s="6" t="s">
        <v>550</v>
      </c>
      <c r="E62" s="6">
        <v>58</v>
      </c>
      <c r="F62" s="6">
        <v>57</v>
      </c>
      <c r="G62" s="6">
        <v>54</v>
      </c>
      <c r="H62" s="6">
        <v>57</v>
      </c>
      <c r="I62" s="6">
        <v>59</v>
      </c>
      <c r="J62" s="6" t="s">
        <v>463</v>
      </c>
    </row>
    <row r="63" spans="1:10" x14ac:dyDescent="0.35">
      <c r="A63" s="6" t="s">
        <v>84</v>
      </c>
      <c r="B63" s="6" t="s">
        <v>426</v>
      </c>
      <c r="C63" s="6" t="s">
        <v>551</v>
      </c>
      <c r="D63" s="6" t="s">
        <v>552</v>
      </c>
      <c r="E63" s="6">
        <v>57</v>
      </c>
      <c r="F63" s="6">
        <v>57</v>
      </c>
      <c r="G63" s="6">
        <v>55</v>
      </c>
      <c r="H63" s="6">
        <v>56</v>
      </c>
      <c r="I63" s="6">
        <v>58</v>
      </c>
      <c r="J63" s="6" t="s">
        <v>463</v>
      </c>
    </row>
    <row r="64" spans="1:10" x14ac:dyDescent="0.35">
      <c r="A64" s="6" t="s">
        <v>84</v>
      </c>
      <c r="B64" s="6" t="s">
        <v>426</v>
      </c>
      <c r="C64" s="6" t="s">
        <v>553</v>
      </c>
      <c r="D64" s="6" t="s">
        <v>554</v>
      </c>
      <c r="E64" s="6">
        <v>87</v>
      </c>
      <c r="F64" s="6">
        <v>89</v>
      </c>
      <c r="G64" s="6">
        <v>88</v>
      </c>
      <c r="H64" s="6">
        <v>85</v>
      </c>
      <c r="I64" s="6">
        <v>91</v>
      </c>
      <c r="J64" s="6" t="s">
        <v>432</v>
      </c>
    </row>
    <row r="65" spans="1:10" x14ac:dyDescent="0.35">
      <c r="A65" s="6" t="s">
        <v>81</v>
      </c>
      <c r="B65" s="6" t="s">
        <v>426</v>
      </c>
      <c r="C65" s="6" t="s">
        <v>555</v>
      </c>
      <c r="D65" s="6" t="s">
        <v>556</v>
      </c>
      <c r="E65" s="6">
        <v>90</v>
      </c>
      <c r="F65" s="6">
        <v>91</v>
      </c>
      <c r="G65" s="6">
        <v>93</v>
      </c>
      <c r="H65" s="6">
        <v>93</v>
      </c>
      <c r="I65" s="6">
        <v>87</v>
      </c>
      <c r="J65" s="6" t="s">
        <v>429</v>
      </c>
    </row>
    <row r="66" spans="1:10" x14ac:dyDescent="0.35">
      <c r="A66" s="6" t="s">
        <v>81</v>
      </c>
      <c r="B66" s="6" t="s">
        <v>426</v>
      </c>
      <c r="C66" s="6" t="s">
        <v>557</v>
      </c>
      <c r="D66" s="6" t="s">
        <v>558</v>
      </c>
      <c r="E66" s="6">
        <v>91</v>
      </c>
      <c r="F66" s="6">
        <v>82</v>
      </c>
      <c r="G66" s="6">
        <v>80</v>
      </c>
      <c r="H66" s="6">
        <v>92</v>
      </c>
      <c r="I66" s="6">
        <v>86</v>
      </c>
      <c r="J66" s="6" t="s">
        <v>429</v>
      </c>
    </row>
    <row r="67" spans="1:10" x14ac:dyDescent="0.35">
      <c r="A67" s="6" t="s">
        <v>81</v>
      </c>
      <c r="B67" s="6" t="s">
        <v>426</v>
      </c>
      <c r="C67" s="6" t="s">
        <v>559</v>
      </c>
      <c r="D67" s="6" t="s">
        <v>560</v>
      </c>
      <c r="E67" s="6">
        <v>82</v>
      </c>
      <c r="F67" s="6">
        <v>81</v>
      </c>
      <c r="G67" s="6">
        <v>69</v>
      </c>
      <c r="H67" s="6">
        <v>83</v>
      </c>
      <c r="I67" s="6">
        <v>73</v>
      </c>
      <c r="J67" s="6" t="s">
        <v>463</v>
      </c>
    </row>
    <row r="68" spans="1:10" x14ac:dyDescent="0.35">
      <c r="A68" s="6" t="s">
        <v>81</v>
      </c>
      <c r="B68" s="6" t="s">
        <v>426</v>
      </c>
      <c r="C68" s="6" t="s">
        <v>561</v>
      </c>
      <c r="D68" s="6" t="s">
        <v>562</v>
      </c>
      <c r="E68" s="6">
        <v>56</v>
      </c>
      <c r="F68" s="6">
        <v>55</v>
      </c>
      <c r="G68" s="6">
        <v>56</v>
      </c>
      <c r="H68" s="6">
        <v>55</v>
      </c>
      <c r="I68" s="6">
        <v>53</v>
      </c>
      <c r="J68" s="6" t="s">
        <v>463</v>
      </c>
    </row>
    <row r="69" spans="1:10" x14ac:dyDescent="0.35">
      <c r="A69" s="6" t="s">
        <v>81</v>
      </c>
      <c r="B69" s="6" t="s">
        <v>426</v>
      </c>
      <c r="C69" s="6" t="s">
        <v>563</v>
      </c>
      <c r="D69" s="6" t="s">
        <v>564</v>
      </c>
      <c r="E69" s="6">
        <v>70</v>
      </c>
      <c r="F69" s="6">
        <v>59</v>
      </c>
      <c r="G69" s="6">
        <v>64</v>
      </c>
      <c r="H69" s="6">
        <v>79</v>
      </c>
      <c r="I69" s="6">
        <v>59</v>
      </c>
      <c r="J69" s="6" t="s">
        <v>463</v>
      </c>
    </row>
    <row r="70" spans="1:10" x14ac:dyDescent="0.35">
      <c r="A70" s="6" t="s">
        <v>81</v>
      </c>
      <c r="B70" s="6" t="s">
        <v>426</v>
      </c>
      <c r="C70" s="6" t="s">
        <v>565</v>
      </c>
      <c r="D70" s="6" t="s">
        <v>566</v>
      </c>
      <c r="E70" s="6">
        <v>59</v>
      </c>
      <c r="F70" s="6">
        <v>66</v>
      </c>
      <c r="G70" s="6">
        <v>58</v>
      </c>
      <c r="H70" s="6">
        <v>59</v>
      </c>
      <c r="I70" s="6">
        <v>57</v>
      </c>
      <c r="J70" s="6" t="s">
        <v>463</v>
      </c>
    </row>
    <row r="71" spans="1:10" x14ac:dyDescent="0.35">
      <c r="A71" s="6" t="s">
        <v>81</v>
      </c>
      <c r="B71" s="6" t="s">
        <v>426</v>
      </c>
      <c r="C71" s="6" t="s">
        <v>567</v>
      </c>
      <c r="D71" s="6" t="s">
        <v>568</v>
      </c>
      <c r="E71" s="6">
        <v>58</v>
      </c>
      <c r="F71" s="6">
        <v>51</v>
      </c>
      <c r="G71" s="6">
        <v>56</v>
      </c>
      <c r="H71" s="6">
        <v>56</v>
      </c>
      <c r="I71" s="6">
        <v>53</v>
      </c>
      <c r="J71" s="6" t="s">
        <v>463</v>
      </c>
    </row>
    <row r="72" spans="1:10" x14ac:dyDescent="0.35">
      <c r="A72" s="6" t="s">
        <v>81</v>
      </c>
      <c r="B72" s="6" t="s">
        <v>426</v>
      </c>
      <c r="C72" s="6" t="s">
        <v>569</v>
      </c>
      <c r="D72" s="6" t="s">
        <v>570</v>
      </c>
      <c r="E72" s="6">
        <v>54</v>
      </c>
      <c r="F72" s="6">
        <v>50</v>
      </c>
      <c r="G72" s="6">
        <v>55</v>
      </c>
      <c r="H72" s="6">
        <v>54</v>
      </c>
      <c r="I72" s="6">
        <v>52</v>
      </c>
      <c r="J72" s="6" t="s">
        <v>463</v>
      </c>
    </row>
    <row r="73" spans="1:10" x14ac:dyDescent="0.35">
      <c r="A73" s="6" t="s">
        <v>81</v>
      </c>
      <c r="B73" s="6" t="s">
        <v>426</v>
      </c>
      <c r="C73" s="6" t="s">
        <v>571</v>
      </c>
      <c r="D73" s="6" t="s">
        <v>572</v>
      </c>
      <c r="E73" s="6">
        <v>93</v>
      </c>
      <c r="F73" s="6">
        <v>95</v>
      </c>
      <c r="G73" s="6">
        <v>93</v>
      </c>
      <c r="H73" s="6">
        <v>95</v>
      </c>
      <c r="I73" s="6">
        <v>91</v>
      </c>
      <c r="J73" s="6" t="s">
        <v>432</v>
      </c>
    </row>
    <row r="74" spans="1:10" x14ac:dyDescent="0.35">
      <c r="A74" s="6" t="s">
        <v>81</v>
      </c>
      <c r="B74" s="6" t="s">
        <v>426</v>
      </c>
      <c r="C74" s="6" t="s">
        <v>573</v>
      </c>
      <c r="D74" s="6" t="s">
        <v>574</v>
      </c>
      <c r="E74" s="6">
        <v>97</v>
      </c>
      <c r="F74" s="6">
        <v>94</v>
      </c>
      <c r="G74" s="6">
        <v>96</v>
      </c>
      <c r="H74" s="6">
        <v>96</v>
      </c>
      <c r="I74" s="6">
        <v>93</v>
      </c>
      <c r="J74" s="6" t="s">
        <v>432</v>
      </c>
    </row>
    <row r="75" spans="1:10" x14ac:dyDescent="0.35">
      <c r="A75" s="6" t="s">
        <v>81</v>
      </c>
      <c r="B75" s="6" t="s">
        <v>426</v>
      </c>
      <c r="C75" s="6" t="s">
        <v>575</v>
      </c>
      <c r="D75" s="6" t="s">
        <v>576</v>
      </c>
      <c r="E75" s="6">
        <v>91</v>
      </c>
      <c r="F75" s="6">
        <v>95</v>
      </c>
      <c r="G75" s="6">
        <v>97</v>
      </c>
      <c r="H75" s="6">
        <v>96</v>
      </c>
      <c r="I75" s="6">
        <v>94</v>
      </c>
      <c r="J75" s="6" t="s">
        <v>432</v>
      </c>
    </row>
    <row r="76" spans="1:10" x14ac:dyDescent="0.35">
      <c r="A76" s="6" t="s">
        <v>81</v>
      </c>
      <c r="B76" s="6" t="s">
        <v>426</v>
      </c>
      <c r="C76" s="6" t="s">
        <v>577</v>
      </c>
      <c r="D76" s="6" t="s">
        <v>578</v>
      </c>
      <c r="E76" s="6">
        <v>85</v>
      </c>
      <c r="F76" s="6">
        <v>89</v>
      </c>
      <c r="G76" s="6">
        <v>92</v>
      </c>
      <c r="H76" s="6">
        <v>95</v>
      </c>
      <c r="I76" s="6">
        <v>90</v>
      </c>
      <c r="J76" s="6" t="s">
        <v>432</v>
      </c>
    </row>
    <row r="77" spans="1:10" x14ac:dyDescent="0.35">
      <c r="A77" s="6" t="s">
        <v>81</v>
      </c>
      <c r="B77" s="6" t="s">
        <v>426</v>
      </c>
      <c r="C77" s="6" t="s">
        <v>579</v>
      </c>
      <c r="D77" s="6" t="s">
        <v>580</v>
      </c>
      <c r="E77" s="6">
        <v>92</v>
      </c>
      <c r="F77" s="6">
        <v>88</v>
      </c>
      <c r="G77" s="6">
        <v>94</v>
      </c>
      <c r="H77" s="6">
        <v>95</v>
      </c>
      <c r="I77" s="6">
        <v>92</v>
      </c>
      <c r="J77" s="6" t="s">
        <v>432</v>
      </c>
    </row>
    <row r="78" spans="1:10" x14ac:dyDescent="0.35">
      <c r="A78" s="6" t="s">
        <v>81</v>
      </c>
      <c r="B78" s="6" t="s">
        <v>426</v>
      </c>
      <c r="C78" s="6" t="s">
        <v>581</v>
      </c>
      <c r="D78" s="6" t="s">
        <v>582</v>
      </c>
      <c r="E78" s="6">
        <v>72</v>
      </c>
      <c r="F78" s="6">
        <v>77</v>
      </c>
      <c r="G78" s="6">
        <v>93</v>
      </c>
      <c r="H78" s="6">
        <v>95</v>
      </c>
      <c r="I78" s="6">
        <v>76</v>
      </c>
      <c r="J78" s="6" t="s">
        <v>463</v>
      </c>
    </row>
    <row r="79" spans="1:10" x14ac:dyDescent="0.35">
      <c r="A79" s="6" t="s">
        <v>81</v>
      </c>
      <c r="B79" s="6" t="s">
        <v>426</v>
      </c>
      <c r="C79" s="6" t="s">
        <v>583</v>
      </c>
      <c r="D79" s="6" t="s">
        <v>584</v>
      </c>
      <c r="E79" s="6">
        <v>93</v>
      </c>
      <c r="F79" s="6">
        <v>93</v>
      </c>
      <c r="G79" s="6">
        <v>95</v>
      </c>
      <c r="H79" s="6">
        <v>96</v>
      </c>
      <c r="I79" s="6">
        <v>94</v>
      </c>
      <c r="J79" s="6" t="s">
        <v>432</v>
      </c>
    </row>
    <row r="80" spans="1:10" x14ac:dyDescent="0.35">
      <c r="A80" s="6" t="s">
        <v>81</v>
      </c>
      <c r="B80" s="6" t="s">
        <v>426</v>
      </c>
      <c r="C80" s="6" t="s">
        <v>585</v>
      </c>
      <c r="D80" s="6" t="s">
        <v>586</v>
      </c>
      <c r="E80" s="6">
        <v>92</v>
      </c>
      <c r="F80" s="6">
        <v>93</v>
      </c>
      <c r="G80" s="6">
        <v>95</v>
      </c>
      <c r="H80" s="6">
        <v>95</v>
      </c>
      <c r="I80" s="6">
        <v>95</v>
      </c>
      <c r="J80" s="6" t="s">
        <v>432</v>
      </c>
    </row>
    <row r="81" spans="1:10" x14ac:dyDescent="0.35">
      <c r="A81" s="6" t="s">
        <v>81</v>
      </c>
      <c r="B81" s="6" t="s">
        <v>426</v>
      </c>
      <c r="C81" s="6" t="s">
        <v>587</v>
      </c>
      <c r="D81" s="6" t="s">
        <v>588</v>
      </c>
      <c r="E81" s="6">
        <v>62</v>
      </c>
      <c r="F81" s="6">
        <v>83</v>
      </c>
      <c r="G81" s="6">
        <v>70</v>
      </c>
      <c r="H81" s="6">
        <v>76</v>
      </c>
      <c r="I81" s="6">
        <v>77</v>
      </c>
      <c r="J81" s="6" t="s">
        <v>463</v>
      </c>
    </row>
    <row r="82" spans="1:10" x14ac:dyDescent="0.35">
      <c r="A82" s="6" t="s">
        <v>81</v>
      </c>
      <c r="B82" s="6" t="s">
        <v>426</v>
      </c>
      <c r="C82" s="6" t="s">
        <v>589</v>
      </c>
      <c r="D82" s="6" t="s">
        <v>590</v>
      </c>
      <c r="E82" s="6">
        <v>89</v>
      </c>
      <c r="F82" s="6">
        <v>89</v>
      </c>
      <c r="G82" s="6">
        <v>91</v>
      </c>
      <c r="H82" s="6">
        <v>93</v>
      </c>
      <c r="I82" s="6">
        <v>84</v>
      </c>
      <c r="J82" s="6" t="s">
        <v>429</v>
      </c>
    </row>
    <row r="83" spans="1:10" x14ac:dyDescent="0.35">
      <c r="A83" s="6" t="s">
        <v>81</v>
      </c>
      <c r="B83" s="6" t="s">
        <v>426</v>
      </c>
      <c r="C83" s="6" t="s">
        <v>591</v>
      </c>
      <c r="D83" s="6" t="s">
        <v>592</v>
      </c>
      <c r="E83" s="6">
        <v>91</v>
      </c>
      <c r="F83" s="6">
        <v>87</v>
      </c>
      <c r="G83" s="6">
        <v>89</v>
      </c>
      <c r="H83" s="6">
        <v>90</v>
      </c>
      <c r="I83" s="6">
        <v>83</v>
      </c>
      <c r="J83" s="6" t="s">
        <v>429</v>
      </c>
    </row>
    <row r="84" spans="1:10" x14ac:dyDescent="0.35">
      <c r="A84" s="6" t="s">
        <v>81</v>
      </c>
      <c r="B84" s="6" t="s">
        <v>426</v>
      </c>
      <c r="C84" s="6" t="s">
        <v>593</v>
      </c>
      <c r="D84" s="6" t="s">
        <v>594</v>
      </c>
      <c r="E84" s="6">
        <v>94</v>
      </c>
      <c r="F84" s="6">
        <v>95</v>
      </c>
      <c r="G84" s="6">
        <v>96</v>
      </c>
      <c r="H84" s="6">
        <v>94</v>
      </c>
      <c r="I84" s="6">
        <v>96</v>
      </c>
      <c r="J84" s="6" t="s">
        <v>432</v>
      </c>
    </row>
    <row r="85" spans="1:10" x14ac:dyDescent="0.35">
      <c r="A85" s="6" t="s">
        <v>81</v>
      </c>
      <c r="B85" s="6" t="s">
        <v>426</v>
      </c>
      <c r="C85" s="6" t="s">
        <v>595</v>
      </c>
      <c r="D85" s="6" t="s">
        <v>596</v>
      </c>
      <c r="E85" s="6">
        <v>90</v>
      </c>
      <c r="F85" s="6">
        <v>93</v>
      </c>
      <c r="G85" s="6">
        <v>92</v>
      </c>
      <c r="H85" s="6">
        <v>94</v>
      </c>
      <c r="I85" s="6">
        <v>88</v>
      </c>
      <c r="J85" s="6" t="s">
        <v>429</v>
      </c>
    </row>
    <row r="86" spans="1:10" x14ac:dyDescent="0.35">
      <c r="A86" s="6" t="s">
        <v>81</v>
      </c>
      <c r="B86" s="6" t="s">
        <v>426</v>
      </c>
      <c r="C86" s="6" t="s">
        <v>597</v>
      </c>
      <c r="D86" s="6" t="s">
        <v>598</v>
      </c>
      <c r="E86" s="6">
        <v>93</v>
      </c>
      <c r="F86" s="6">
        <v>93</v>
      </c>
      <c r="G86" s="6">
        <v>95</v>
      </c>
      <c r="H86" s="6">
        <v>94</v>
      </c>
      <c r="I86" s="6">
        <v>93</v>
      </c>
      <c r="J86" s="6" t="s">
        <v>432</v>
      </c>
    </row>
    <row r="87" spans="1:10" x14ac:dyDescent="0.35">
      <c r="A87" s="6" t="s">
        <v>81</v>
      </c>
      <c r="B87" s="6" t="s">
        <v>426</v>
      </c>
      <c r="C87" s="6" t="s">
        <v>599</v>
      </c>
      <c r="D87" s="6" t="s">
        <v>600</v>
      </c>
      <c r="E87" s="6">
        <v>88</v>
      </c>
      <c r="F87" s="6">
        <v>85</v>
      </c>
      <c r="G87" s="6">
        <v>94</v>
      </c>
      <c r="H87" s="6">
        <v>94</v>
      </c>
      <c r="I87" s="6">
        <v>84</v>
      </c>
      <c r="J87" s="6" t="s">
        <v>429</v>
      </c>
    </row>
    <row r="88" spans="1:10" x14ac:dyDescent="0.35">
      <c r="A88" s="6" t="s">
        <v>81</v>
      </c>
      <c r="B88" s="6" t="s">
        <v>426</v>
      </c>
      <c r="C88" s="6" t="s">
        <v>601</v>
      </c>
      <c r="D88" s="6" t="s">
        <v>602</v>
      </c>
      <c r="E88" s="6">
        <v>90</v>
      </c>
      <c r="F88" s="6">
        <v>79</v>
      </c>
      <c r="G88" s="6">
        <v>95</v>
      </c>
      <c r="H88" s="6">
        <v>81</v>
      </c>
      <c r="I88" s="6">
        <v>74</v>
      </c>
      <c r="J88" s="6" t="s">
        <v>463</v>
      </c>
    </row>
    <row r="89" spans="1:10" x14ac:dyDescent="0.35">
      <c r="A89" s="6" t="s">
        <v>81</v>
      </c>
      <c r="B89" s="6" t="s">
        <v>426</v>
      </c>
      <c r="C89" s="6" t="s">
        <v>603</v>
      </c>
      <c r="D89" s="6" t="s">
        <v>604</v>
      </c>
      <c r="E89" s="6">
        <v>95</v>
      </c>
      <c r="F89" s="6">
        <v>96</v>
      </c>
      <c r="G89" s="6">
        <v>94</v>
      </c>
      <c r="H89" s="6">
        <v>95</v>
      </c>
      <c r="I89" s="6">
        <v>95</v>
      </c>
      <c r="J89" s="6" t="s">
        <v>432</v>
      </c>
    </row>
    <row r="90" spans="1:10" x14ac:dyDescent="0.35">
      <c r="A90" s="6" t="s">
        <v>81</v>
      </c>
      <c r="B90" s="6" t="s">
        <v>426</v>
      </c>
      <c r="C90" s="6" t="s">
        <v>605</v>
      </c>
      <c r="D90" s="6" t="s">
        <v>606</v>
      </c>
      <c r="E90" s="6">
        <v>92</v>
      </c>
      <c r="F90" s="6">
        <v>94</v>
      </c>
      <c r="G90" s="6">
        <v>94</v>
      </c>
      <c r="H90" s="6">
        <v>95</v>
      </c>
      <c r="I90" s="6">
        <v>94</v>
      </c>
      <c r="J90" s="6" t="s">
        <v>432</v>
      </c>
    </row>
    <row r="91" spans="1:10" x14ac:dyDescent="0.35">
      <c r="A91" s="6" t="s">
        <v>81</v>
      </c>
      <c r="B91" s="6" t="s">
        <v>426</v>
      </c>
      <c r="C91" s="6" t="s">
        <v>607</v>
      </c>
      <c r="D91" s="6" t="s">
        <v>608</v>
      </c>
      <c r="E91" s="6">
        <v>94</v>
      </c>
      <c r="F91" s="6">
        <v>94</v>
      </c>
      <c r="G91" s="6">
        <v>97</v>
      </c>
      <c r="H91" s="6">
        <v>96</v>
      </c>
      <c r="I91" s="6">
        <v>94</v>
      </c>
      <c r="J91" s="6" t="s">
        <v>432</v>
      </c>
    </row>
    <row r="92" spans="1:10" x14ac:dyDescent="0.35">
      <c r="A92" s="6" t="s">
        <v>81</v>
      </c>
      <c r="B92" s="6" t="s">
        <v>426</v>
      </c>
      <c r="C92" s="6" t="s">
        <v>609</v>
      </c>
      <c r="D92" s="6" t="s">
        <v>610</v>
      </c>
      <c r="E92" s="6">
        <v>92</v>
      </c>
      <c r="F92" s="6">
        <v>95</v>
      </c>
      <c r="G92" s="6">
        <v>97</v>
      </c>
      <c r="H92" s="6">
        <v>96</v>
      </c>
      <c r="I92" s="6">
        <v>94</v>
      </c>
      <c r="J92" s="6" t="s">
        <v>432</v>
      </c>
    </row>
    <row r="93" spans="1:10" x14ac:dyDescent="0.35">
      <c r="A93" s="6" t="s">
        <v>81</v>
      </c>
      <c r="B93" s="6" t="s">
        <v>426</v>
      </c>
      <c r="C93" s="6" t="s">
        <v>611</v>
      </c>
      <c r="D93" s="6" t="s">
        <v>612</v>
      </c>
      <c r="E93" s="6">
        <v>85</v>
      </c>
      <c r="F93" s="6">
        <v>92</v>
      </c>
      <c r="G93" s="6">
        <v>83</v>
      </c>
      <c r="H93" s="6">
        <v>89</v>
      </c>
      <c r="I93" s="6">
        <v>88</v>
      </c>
      <c r="J93" s="6" t="s">
        <v>429</v>
      </c>
    </row>
    <row r="94" spans="1:10" x14ac:dyDescent="0.35">
      <c r="A94" s="6" t="s">
        <v>86</v>
      </c>
      <c r="B94" s="6" t="s">
        <v>426</v>
      </c>
      <c r="C94" s="6" t="s">
        <v>613</v>
      </c>
      <c r="D94" s="6" t="s">
        <v>614</v>
      </c>
      <c r="E94" s="6">
        <v>95</v>
      </c>
      <c r="F94" s="6">
        <v>80</v>
      </c>
      <c r="G94" s="6">
        <v>96</v>
      </c>
      <c r="H94" s="6">
        <v>96</v>
      </c>
      <c r="I94" s="6">
        <v>95</v>
      </c>
      <c r="J94" s="6" t="s">
        <v>432</v>
      </c>
    </row>
    <row r="95" spans="1:10" x14ac:dyDescent="0.35">
      <c r="A95" s="6" t="s">
        <v>86</v>
      </c>
      <c r="B95" s="6" t="s">
        <v>426</v>
      </c>
      <c r="C95" s="6" t="s">
        <v>615</v>
      </c>
      <c r="D95" s="6" t="s">
        <v>616</v>
      </c>
      <c r="E95" s="6">
        <v>97</v>
      </c>
      <c r="F95" s="6">
        <v>87</v>
      </c>
      <c r="G95" s="6">
        <v>96</v>
      </c>
      <c r="H95" s="6">
        <v>97</v>
      </c>
      <c r="I95" s="6">
        <v>96</v>
      </c>
      <c r="J95" s="6" t="s">
        <v>432</v>
      </c>
    </row>
    <row r="96" spans="1:10" x14ac:dyDescent="0.35">
      <c r="A96" s="6" t="s">
        <v>86</v>
      </c>
      <c r="B96" s="6" t="s">
        <v>426</v>
      </c>
      <c r="C96" s="6" t="s">
        <v>617</v>
      </c>
      <c r="D96" s="6" t="s">
        <v>618</v>
      </c>
      <c r="E96" s="6">
        <v>93</v>
      </c>
      <c r="F96" s="6">
        <v>93</v>
      </c>
      <c r="G96" s="6">
        <v>96</v>
      </c>
      <c r="H96" s="6">
        <v>95</v>
      </c>
      <c r="I96" s="6">
        <v>94</v>
      </c>
      <c r="J96" s="6" t="s">
        <v>432</v>
      </c>
    </row>
    <row r="97" spans="1:10" x14ac:dyDescent="0.35">
      <c r="A97" s="6" t="s">
        <v>86</v>
      </c>
      <c r="B97" s="6" t="s">
        <v>426</v>
      </c>
      <c r="C97" s="6" t="s">
        <v>619</v>
      </c>
      <c r="D97" s="6" t="s">
        <v>620</v>
      </c>
      <c r="E97" s="6">
        <v>95</v>
      </c>
      <c r="F97" s="6">
        <v>94</v>
      </c>
      <c r="G97" s="6">
        <v>96</v>
      </c>
      <c r="H97" s="6">
        <v>97</v>
      </c>
      <c r="I97" s="6">
        <v>96</v>
      </c>
      <c r="J97" s="6" t="s">
        <v>432</v>
      </c>
    </row>
    <row r="98" spans="1:10" x14ac:dyDescent="0.35">
      <c r="A98" s="6" t="s">
        <v>86</v>
      </c>
      <c r="B98" s="6" t="s">
        <v>426</v>
      </c>
      <c r="C98" s="6" t="s">
        <v>621</v>
      </c>
      <c r="D98" s="6" t="s">
        <v>622</v>
      </c>
      <c r="E98" s="6">
        <v>90</v>
      </c>
      <c r="F98" s="6">
        <v>93</v>
      </c>
      <c r="G98" s="6">
        <v>96</v>
      </c>
      <c r="H98" s="6">
        <v>94</v>
      </c>
      <c r="I98" s="6">
        <v>93</v>
      </c>
      <c r="J98" s="6" t="s">
        <v>432</v>
      </c>
    </row>
    <row r="99" spans="1:10" x14ac:dyDescent="0.35">
      <c r="A99" s="6" t="s">
        <v>86</v>
      </c>
      <c r="B99" s="6" t="s">
        <v>426</v>
      </c>
      <c r="C99" s="6" t="s">
        <v>623</v>
      </c>
      <c r="D99" s="6" t="s">
        <v>624</v>
      </c>
      <c r="E99" s="6">
        <v>74</v>
      </c>
      <c r="F99" s="6">
        <v>90</v>
      </c>
      <c r="G99" s="6">
        <v>92</v>
      </c>
      <c r="H99" s="6">
        <v>94</v>
      </c>
      <c r="I99" s="6">
        <v>72</v>
      </c>
      <c r="J99" s="6" t="s">
        <v>463</v>
      </c>
    </row>
    <row r="100" spans="1:10" x14ac:dyDescent="0.35">
      <c r="A100" s="6" t="s">
        <v>86</v>
      </c>
      <c r="B100" s="6" t="s">
        <v>426</v>
      </c>
      <c r="C100" s="6" t="s">
        <v>625</v>
      </c>
      <c r="D100" s="6" t="s">
        <v>626</v>
      </c>
      <c r="E100" s="6">
        <v>92</v>
      </c>
      <c r="F100" s="6">
        <v>93</v>
      </c>
      <c r="G100" s="6">
        <v>92</v>
      </c>
      <c r="H100" s="6">
        <v>95</v>
      </c>
      <c r="I100" s="6">
        <v>93</v>
      </c>
      <c r="J100" s="6" t="s">
        <v>432</v>
      </c>
    </row>
    <row r="101" spans="1:10" x14ac:dyDescent="0.35">
      <c r="A101" s="6" t="s">
        <v>86</v>
      </c>
      <c r="B101" s="6" t="s">
        <v>426</v>
      </c>
      <c r="C101" s="6" t="s">
        <v>627</v>
      </c>
      <c r="D101" s="6" t="s">
        <v>628</v>
      </c>
      <c r="E101" s="6">
        <v>84</v>
      </c>
      <c r="F101" s="6">
        <v>96</v>
      </c>
      <c r="G101" s="6">
        <v>94</v>
      </c>
      <c r="H101" s="6">
        <v>97</v>
      </c>
      <c r="I101" s="6">
        <v>92</v>
      </c>
      <c r="J101" s="6" t="s">
        <v>432</v>
      </c>
    </row>
    <row r="102" spans="1:10" x14ac:dyDescent="0.35">
      <c r="A102" s="6" t="s">
        <v>86</v>
      </c>
      <c r="B102" s="6" t="s">
        <v>426</v>
      </c>
      <c r="C102" s="6" t="s">
        <v>629</v>
      </c>
      <c r="D102" s="6" t="s">
        <v>630</v>
      </c>
      <c r="E102" s="6">
        <v>93</v>
      </c>
      <c r="F102" s="6">
        <v>93</v>
      </c>
      <c r="G102" s="6">
        <v>93</v>
      </c>
      <c r="H102" s="6">
        <v>95</v>
      </c>
      <c r="I102" s="6">
        <v>96</v>
      </c>
      <c r="J102" s="6" t="s">
        <v>432</v>
      </c>
    </row>
    <row r="103" spans="1:10" x14ac:dyDescent="0.35">
      <c r="A103" s="6" t="s">
        <v>86</v>
      </c>
      <c r="B103" s="6" t="s">
        <v>426</v>
      </c>
      <c r="C103" s="6" t="s">
        <v>631</v>
      </c>
      <c r="D103" s="6" t="s">
        <v>632</v>
      </c>
      <c r="E103" s="6">
        <v>90</v>
      </c>
      <c r="F103" s="6">
        <v>90</v>
      </c>
      <c r="G103" s="6">
        <v>94</v>
      </c>
      <c r="H103" s="6">
        <v>93</v>
      </c>
      <c r="I103" s="6">
        <v>95</v>
      </c>
      <c r="J103" s="6" t="s">
        <v>432</v>
      </c>
    </row>
    <row r="104" spans="1:10" x14ac:dyDescent="0.35">
      <c r="A104" s="6" t="s">
        <v>86</v>
      </c>
      <c r="B104" s="6" t="s">
        <v>426</v>
      </c>
      <c r="C104" s="6" t="s">
        <v>633</v>
      </c>
      <c r="D104" s="6" t="s">
        <v>634</v>
      </c>
      <c r="E104" s="6">
        <v>94</v>
      </c>
      <c r="F104" s="6">
        <v>95</v>
      </c>
      <c r="G104" s="6">
        <v>95</v>
      </c>
      <c r="H104" s="6">
        <v>92</v>
      </c>
      <c r="I104" s="6">
        <v>93</v>
      </c>
      <c r="J104" s="6" t="s">
        <v>432</v>
      </c>
    </row>
    <row r="105" spans="1:10" x14ac:dyDescent="0.35">
      <c r="A105" s="6" t="s">
        <v>86</v>
      </c>
      <c r="B105" s="6" t="s">
        <v>426</v>
      </c>
      <c r="C105" s="6" t="s">
        <v>635</v>
      </c>
      <c r="D105" s="6" t="s">
        <v>636</v>
      </c>
      <c r="E105" s="6">
        <v>93</v>
      </c>
      <c r="F105" s="6">
        <v>95</v>
      </c>
      <c r="G105" s="6">
        <v>96</v>
      </c>
      <c r="H105" s="6">
        <v>87</v>
      </c>
      <c r="I105" s="6">
        <v>95</v>
      </c>
      <c r="J105" s="6" t="s">
        <v>432</v>
      </c>
    </row>
    <row r="106" spans="1:10" x14ac:dyDescent="0.35">
      <c r="A106" s="6" t="s">
        <v>86</v>
      </c>
      <c r="B106" s="6" t="s">
        <v>426</v>
      </c>
      <c r="C106" s="6" t="s">
        <v>637</v>
      </c>
      <c r="D106" s="6" t="s">
        <v>638</v>
      </c>
      <c r="E106" s="6">
        <v>72</v>
      </c>
      <c r="F106" s="6">
        <v>70</v>
      </c>
      <c r="G106" s="6">
        <v>95</v>
      </c>
      <c r="H106" s="6">
        <v>91</v>
      </c>
      <c r="I106" s="6">
        <v>94</v>
      </c>
      <c r="J106" s="6" t="s">
        <v>432</v>
      </c>
    </row>
    <row r="107" spans="1:10" x14ac:dyDescent="0.35">
      <c r="A107" s="6" t="s">
        <v>86</v>
      </c>
      <c r="B107" s="6" t="s">
        <v>426</v>
      </c>
      <c r="C107" s="6" t="s">
        <v>639</v>
      </c>
      <c r="D107" s="6" t="s">
        <v>640</v>
      </c>
      <c r="E107" s="6">
        <v>59</v>
      </c>
      <c r="F107" s="6">
        <v>59</v>
      </c>
      <c r="G107" s="6">
        <v>92</v>
      </c>
      <c r="H107" s="6">
        <v>87</v>
      </c>
      <c r="I107" s="6">
        <v>89</v>
      </c>
      <c r="J107" s="6" t="s">
        <v>429</v>
      </c>
    </row>
    <row r="108" spans="1:10" x14ac:dyDescent="0.35">
      <c r="A108" s="6" t="s">
        <v>86</v>
      </c>
      <c r="B108" s="6" t="s">
        <v>426</v>
      </c>
      <c r="C108" s="6" t="s">
        <v>641</v>
      </c>
      <c r="D108" s="6" t="s">
        <v>642</v>
      </c>
      <c r="E108" s="6">
        <v>94</v>
      </c>
      <c r="F108" s="6">
        <v>96</v>
      </c>
      <c r="G108" s="6">
        <v>96</v>
      </c>
      <c r="H108" s="6">
        <v>96</v>
      </c>
      <c r="I108" s="6">
        <v>94</v>
      </c>
      <c r="J108" s="6" t="s">
        <v>432</v>
      </c>
    </row>
    <row r="109" spans="1:10" x14ac:dyDescent="0.35">
      <c r="A109" s="6" t="s">
        <v>86</v>
      </c>
      <c r="B109" s="6" t="s">
        <v>426</v>
      </c>
      <c r="C109" s="6" t="s">
        <v>643</v>
      </c>
      <c r="D109" s="6" t="s">
        <v>644</v>
      </c>
      <c r="E109" s="6">
        <v>95</v>
      </c>
      <c r="F109" s="6">
        <v>95</v>
      </c>
      <c r="G109" s="6">
        <v>94</v>
      </c>
      <c r="H109" s="6">
        <v>95</v>
      </c>
      <c r="I109" s="6">
        <v>94</v>
      </c>
      <c r="J109" s="6" t="s">
        <v>432</v>
      </c>
    </row>
    <row r="110" spans="1:10" x14ac:dyDescent="0.35">
      <c r="A110" s="6" t="s">
        <v>86</v>
      </c>
      <c r="B110" s="6" t="s">
        <v>426</v>
      </c>
      <c r="C110" s="6" t="s">
        <v>645</v>
      </c>
      <c r="D110" s="6" t="s">
        <v>646</v>
      </c>
      <c r="E110" s="6">
        <v>92</v>
      </c>
      <c r="F110" s="6">
        <v>95</v>
      </c>
      <c r="G110" s="6">
        <v>96</v>
      </c>
      <c r="H110" s="6">
        <v>96</v>
      </c>
      <c r="I110" s="6">
        <v>95</v>
      </c>
      <c r="J110" s="6" t="s">
        <v>432</v>
      </c>
    </row>
    <row r="111" spans="1:10" x14ac:dyDescent="0.35">
      <c r="A111" s="6" t="s">
        <v>86</v>
      </c>
      <c r="B111" s="6" t="s">
        <v>426</v>
      </c>
      <c r="C111" s="6" t="s">
        <v>647</v>
      </c>
      <c r="D111" s="6" t="s">
        <v>648</v>
      </c>
      <c r="E111" s="6">
        <v>92</v>
      </c>
      <c r="F111" s="6">
        <v>95</v>
      </c>
      <c r="G111" s="6">
        <v>97</v>
      </c>
      <c r="H111" s="6">
        <v>96</v>
      </c>
      <c r="I111" s="6">
        <v>96</v>
      </c>
      <c r="J111" s="6" t="s">
        <v>432</v>
      </c>
    </row>
    <row r="112" spans="1:10" x14ac:dyDescent="0.35">
      <c r="A112" s="6" t="s">
        <v>86</v>
      </c>
      <c r="B112" s="6" t="s">
        <v>426</v>
      </c>
      <c r="C112" s="6" t="s">
        <v>649</v>
      </c>
      <c r="D112" s="6" t="s">
        <v>650</v>
      </c>
      <c r="E112" s="6">
        <v>94</v>
      </c>
      <c r="F112" s="6">
        <v>95</v>
      </c>
      <c r="G112" s="6">
        <v>96</v>
      </c>
      <c r="H112" s="6">
        <v>96</v>
      </c>
      <c r="I112" s="6">
        <v>95</v>
      </c>
      <c r="J112" s="6" t="s">
        <v>432</v>
      </c>
    </row>
    <row r="113" spans="1:10" x14ac:dyDescent="0.35">
      <c r="A113" s="6" t="s">
        <v>86</v>
      </c>
      <c r="B113" s="6" t="s">
        <v>426</v>
      </c>
      <c r="C113" s="6" t="s">
        <v>488</v>
      </c>
      <c r="D113" s="6" t="s">
        <v>651</v>
      </c>
      <c r="E113" s="6">
        <v>94</v>
      </c>
      <c r="F113" s="6">
        <v>92</v>
      </c>
      <c r="G113" s="6">
        <v>96</v>
      </c>
      <c r="H113" s="6">
        <v>95</v>
      </c>
      <c r="I113" s="6">
        <v>96</v>
      </c>
      <c r="J113" s="6" t="s">
        <v>432</v>
      </c>
    </row>
    <row r="114" spans="1:10" x14ac:dyDescent="0.35">
      <c r="A114" s="6" t="s">
        <v>86</v>
      </c>
      <c r="B114" s="6" t="s">
        <v>426</v>
      </c>
      <c r="C114" s="6" t="s">
        <v>652</v>
      </c>
      <c r="D114" s="6" t="s">
        <v>653</v>
      </c>
      <c r="E114" s="6">
        <v>92</v>
      </c>
      <c r="F114" s="6">
        <v>84</v>
      </c>
      <c r="G114" s="6">
        <v>95</v>
      </c>
      <c r="H114" s="6">
        <v>96</v>
      </c>
      <c r="I114" s="6">
        <v>95</v>
      </c>
      <c r="J114" s="6" t="s">
        <v>432</v>
      </c>
    </row>
    <row r="115" spans="1:10" x14ac:dyDescent="0.35">
      <c r="A115" s="6" t="s">
        <v>86</v>
      </c>
      <c r="B115" s="6" t="s">
        <v>426</v>
      </c>
      <c r="C115" s="6" t="s">
        <v>654</v>
      </c>
      <c r="D115" s="6" t="s">
        <v>655</v>
      </c>
      <c r="E115" s="6">
        <v>94</v>
      </c>
      <c r="F115" s="6">
        <v>91</v>
      </c>
      <c r="G115" s="6">
        <v>95</v>
      </c>
      <c r="H115" s="6">
        <v>93</v>
      </c>
      <c r="I115" s="6">
        <v>96</v>
      </c>
      <c r="J115" s="6" t="s">
        <v>432</v>
      </c>
    </row>
    <row r="116" spans="1:10" x14ac:dyDescent="0.35">
      <c r="A116" s="6" t="s">
        <v>93</v>
      </c>
      <c r="B116" s="6" t="s">
        <v>426</v>
      </c>
      <c r="C116" s="6" t="s">
        <v>656</v>
      </c>
      <c r="D116" s="6" t="s">
        <v>657</v>
      </c>
      <c r="E116" s="6">
        <v>88</v>
      </c>
      <c r="F116" s="6">
        <v>95</v>
      </c>
      <c r="G116" s="6">
        <v>91</v>
      </c>
      <c r="H116" s="6">
        <v>97</v>
      </c>
      <c r="I116" s="6">
        <v>95</v>
      </c>
      <c r="J116" s="6" t="s">
        <v>432</v>
      </c>
    </row>
    <row r="117" spans="1:10" x14ac:dyDescent="0.35">
      <c r="A117" s="6" t="s">
        <v>93</v>
      </c>
      <c r="B117" s="6" t="s">
        <v>426</v>
      </c>
      <c r="C117" s="6" t="s">
        <v>658</v>
      </c>
      <c r="D117" s="6" t="s">
        <v>659</v>
      </c>
      <c r="E117" s="6">
        <v>96</v>
      </c>
      <c r="F117" s="6">
        <v>95</v>
      </c>
      <c r="G117" s="6">
        <v>96</v>
      </c>
      <c r="H117" s="6">
        <v>96</v>
      </c>
      <c r="I117" s="6">
        <v>95</v>
      </c>
      <c r="J117" s="6" t="s">
        <v>432</v>
      </c>
    </row>
    <row r="118" spans="1:10" x14ac:dyDescent="0.35">
      <c r="A118" s="6" t="s">
        <v>93</v>
      </c>
      <c r="B118" s="6" t="s">
        <v>426</v>
      </c>
      <c r="C118" s="6" t="s">
        <v>660</v>
      </c>
      <c r="D118" s="6" t="s">
        <v>661</v>
      </c>
      <c r="E118" s="6">
        <v>95</v>
      </c>
      <c r="F118" s="6">
        <v>95</v>
      </c>
      <c r="G118" s="6">
        <v>97</v>
      </c>
      <c r="H118" s="6">
        <v>96</v>
      </c>
      <c r="I118" s="6">
        <v>93</v>
      </c>
      <c r="J118" s="6" t="s">
        <v>432</v>
      </c>
    </row>
    <row r="119" spans="1:10" x14ac:dyDescent="0.35">
      <c r="A119" s="6" t="s">
        <v>93</v>
      </c>
      <c r="B119" s="6" t="s">
        <v>426</v>
      </c>
      <c r="C119" s="6" t="s">
        <v>662</v>
      </c>
      <c r="D119" s="6" t="s">
        <v>663</v>
      </c>
      <c r="E119" s="6">
        <v>96</v>
      </c>
      <c r="F119" s="6">
        <v>97</v>
      </c>
      <c r="G119" s="6">
        <v>97</v>
      </c>
      <c r="H119" s="6">
        <v>96</v>
      </c>
      <c r="I119" s="6">
        <v>94</v>
      </c>
      <c r="J119" s="6" t="s">
        <v>432</v>
      </c>
    </row>
    <row r="120" spans="1:10" x14ac:dyDescent="0.35">
      <c r="A120" s="6" t="s">
        <v>93</v>
      </c>
      <c r="B120" s="6" t="s">
        <v>426</v>
      </c>
      <c r="C120" s="6" t="s">
        <v>664</v>
      </c>
      <c r="D120" s="6" t="s">
        <v>665</v>
      </c>
      <c r="E120" s="6">
        <v>95</v>
      </c>
      <c r="F120" s="6">
        <v>94</v>
      </c>
      <c r="G120" s="6">
        <v>96</v>
      </c>
      <c r="H120" s="6">
        <v>96</v>
      </c>
      <c r="I120" s="6">
        <v>96</v>
      </c>
      <c r="J120" s="6" t="s">
        <v>432</v>
      </c>
    </row>
    <row r="121" spans="1:10" x14ac:dyDescent="0.35">
      <c r="A121" s="6" t="s">
        <v>93</v>
      </c>
      <c r="B121" s="6" t="s">
        <v>426</v>
      </c>
      <c r="C121" s="6" t="s">
        <v>666</v>
      </c>
      <c r="D121" s="6" t="s">
        <v>667</v>
      </c>
      <c r="E121" s="6">
        <v>94</v>
      </c>
      <c r="F121" s="6">
        <v>94</v>
      </c>
      <c r="G121" s="6">
        <v>96</v>
      </c>
      <c r="H121" s="6">
        <v>96</v>
      </c>
      <c r="I121" s="6">
        <v>95</v>
      </c>
      <c r="J121" s="6" t="s">
        <v>432</v>
      </c>
    </row>
    <row r="122" spans="1:10" x14ac:dyDescent="0.35">
      <c r="A122" s="6" t="s">
        <v>93</v>
      </c>
      <c r="B122" s="6" t="s">
        <v>426</v>
      </c>
      <c r="C122" s="6" t="s">
        <v>668</v>
      </c>
      <c r="D122" s="6" t="s">
        <v>669</v>
      </c>
      <c r="E122" s="6">
        <v>95</v>
      </c>
      <c r="F122" s="6">
        <v>95</v>
      </c>
      <c r="G122" s="6">
        <v>96</v>
      </c>
      <c r="H122" s="6">
        <v>95</v>
      </c>
      <c r="I122" s="6">
        <v>93</v>
      </c>
      <c r="J122" s="6" t="s">
        <v>432</v>
      </c>
    </row>
    <row r="123" spans="1:10" x14ac:dyDescent="0.35">
      <c r="A123" s="6" t="s">
        <v>93</v>
      </c>
      <c r="B123" s="6" t="s">
        <v>426</v>
      </c>
      <c r="C123" s="6" t="s">
        <v>670</v>
      </c>
      <c r="D123" s="6" t="s">
        <v>671</v>
      </c>
      <c r="E123" s="6">
        <v>97</v>
      </c>
      <c r="F123" s="6">
        <v>90</v>
      </c>
      <c r="G123" s="6">
        <v>97</v>
      </c>
      <c r="H123" s="6">
        <v>97</v>
      </c>
      <c r="I123" s="6">
        <v>96</v>
      </c>
      <c r="J123" s="6" t="s">
        <v>432</v>
      </c>
    </row>
    <row r="124" spans="1:10" x14ac:dyDescent="0.35">
      <c r="A124" s="6" t="s">
        <v>93</v>
      </c>
      <c r="B124" s="6" t="s">
        <v>426</v>
      </c>
      <c r="C124" s="6" t="s">
        <v>672</v>
      </c>
      <c r="D124" s="6" t="s">
        <v>673</v>
      </c>
      <c r="E124" s="6">
        <v>95</v>
      </c>
      <c r="F124" s="6">
        <v>96</v>
      </c>
      <c r="G124" s="6">
        <v>97</v>
      </c>
      <c r="H124" s="6">
        <v>96</v>
      </c>
      <c r="I124" s="6">
        <v>94</v>
      </c>
      <c r="J124" s="6" t="s">
        <v>432</v>
      </c>
    </row>
    <row r="125" spans="1:10" x14ac:dyDescent="0.35">
      <c r="A125" s="6" t="s">
        <v>93</v>
      </c>
      <c r="B125" s="6" t="s">
        <v>426</v>
      </c>
      <c r="C125" s="6" t="s">
        <v>674</v>
      </c>
      <c r="D125" s="6" t="s">
        <v>675</v>
      </c>
      <c r="E125" s="6">
        <v>96</v>
      </c>
      <c r="F125" s="6">
        <v>97</v>
      </c>
      <c r="G125" s="6">
        <v>97</v>
      </c>
      <c r="H125" s="6">
        <v>96</v>
      </c>
      <c r="I125" s="6">
        <v>89</v>
      </c>
      <c r="J125" s="6" t="s">
        <v>429</v>
      </c>
    </row>
    <row r="126" spans="1:10" x14ac:dyDescent="0.35">
      <c r="A126" s="6" t="s">
        <v>93</v>
      </c>
      <c r="B126" s="6" t="s">
        <v>426</v>
      </c>
      <c r="C126" s="6" t="s">
        <v>676</v>
      </c>
      <c r="D126" s="6" t="s">
        <v>677</v>
      </c>
      <c r="E126" s="6">
        <v>96</v>
      </c>
      <c r="F126" s="6">
        <v>96</v>
      </c>
      <c r="G126" s="6">
        <v>97</v>
      </c>
      <c r="H126" s="6">
        <v>96</v>
      </c>
      <c r="I126" s="6">
        <v>95</v>
      </c>
      <c r="J126" s="6" t="s">
        <v>432</v>
      </c>
    </row>
    <row r="127" spans="1:10" x14ac:dyDescent="0.35">
      <c r="A127" s="6" t="s">
        <v>93</v>
      </c>
      <c r="B127" s="6" t="s">
        <v>426</v>
      </c>
      <c r="C127" s="6" t="s">
        <v>678</v>
      </c>
      <c r="D127" s="6" t="s">
        <v>679</v>
      </c>
      <c r="E127" s="6">
        <v>95</v>
      </c>
      <c r="F127" s="6">
        <v>97</v>
      </c>
      <c r="G127" s="6">
        <v>97</v>
      </c>
      <c r="H127" s="6">
        <v>96</v>
      </c>
      <c r="I127" s="6">
        <v>95</v>
      </c>
      <c r="J127" s="6" t="s">
        <v>432</v>
      </c>
    </row>
    <row r="128" spans="1:10" x14ac:dyDescent="0.35">
      <c r="A128" s="6" t="s">
        <v>93</v>
      </c>
      <c r="B128" s="6" t="s">
        <v>426</v>
      </c>
      <c r="C128" s="6" t="s">
        <v>680</v>
      </c>
      <c r="D128" s="6" t="s">
        <v>681</v>
      </c>
      <c r="E128" s="6">
        <v>95</v>
      </c>
      <c r="F128" s="6">
        <v>97</v>
      </c>
      <c r="G128" s="6">
        <v>96</v>
      </c>
      <c r="H128" s="6">
        <v>97</v>
      </c>
      <c r="I128" s="6">
        <v>96</v>
      </c>
      <c r="J128" s="6" t="s">
        <v>432</v>
      </c>
    </row>
    <row r="129" spans="1:10" x14ac:dyDescent="0.35">
      <c r="A129" s="6" t="s">
        <v>93</v>
      </c>
      <c r="B129" s="6" t="s">
        <v>426</v>
      </c>
      <c r="C129" s="6" t="s">
        <v>682</v>
      </c>
      <c r="D129" s="6" t="s">
        <v>683</v>
      </c>
      <c r="E129" s="6">
        <v>94</v>
      </c>
      <c r="F129" s="6">
        <v>96</v>
      </c>
      <c r="G129" s="6">
        <v>97</v>
      </c>
      <c r="H129" s="6">
        <v>96</v>
      </c>
      <c r="I129" s="6">
        <v>92</v>
      </c>
      <c r="J129" s="6" t="s">
        <v>432</v>
      </c>
    </row>
    <row r="130" spans="1:10" x14ac:dyDescent="0.35">
      <c r="A130" s="6" t="s">
        <v>93</v>
      </c>
      <c r="B130" s="6" t="s">
        <v>426</v>
      </c>
      <c r="C130" s="6" t="s">
        <v>541</v>
      </c>
      <c r="D130" s="6" t="s">
        <v>684</v>
      </c>
      <c r="E130" s="6">
        <v>94</v>
      </c>
      <c r="F130" s="6">
        <v>97</v>
      </c>
      <c r="G130" s="6">
        <v>97</v>
      </c>
      <c r="H130" s="6">
        <v>97</v>
      </c>
      <c r="I130" s="6">
        <v>96</v>
      </c>
      <c r="J130" s="6" t="s">
        <v>432</v>
      </c>
    </row>
    <row r="131" spans="1:10" x14ac:dyDescent="0.35">
      <c r="A131" s="6" t="s">
        <v>93</v>
      </c>
      <c r="B131" s="6" t="s">
        <v>426</v>
      </c>
      <c r="C131" s="6" t="s">
        <v>685</v>
      </c>
      <c r="D131" s="6" t="s">
        <v>686</v>
      </c>
      <c r="E131" s="6">
        <v>97</v>
      </c>
      <c r="F131" s="6">
        <v>97</v>
      </c>
      <c r="G131" s="6">
        <v>96</v>
      </c>
      <c r="H131" s="6">
        <v>95</v>
      </c>
      <c r="I131" s="6">
        <v>95</v>
      </c>
      <c r="J131" s="6" t="s">
        <v>432</v>
      </c>
    </row>
    <row r="132" spans="1:10" x14ac:dyDescent="0.35">
      <c r="A132" s="6" t="s">
        <v>83</v>
      </c>
      <c r="B132" s="6" t="s">
        <v>426</v>
      </c>
      <c r="C132" s="6" t="s">
        <v>687</v>
      </c>
      <c r="D132" s="6" t="s">
        <v>688</v>
      </c>
      <c r="E132" s="6">
        <v>93</v>
      </c>
      <c r="F132" s="6">
        <v>94</v>
      </c>
      <c r="G132" s="6">
        <v>95</v>
      </c>
      <c r="H132" s="6">
        <v>95</v>
      </c>
      <c r="I132" s="6">
        <v>94</v>
      </c>
      <c r="J132" s="6" t="s">
        <v>432</v>
      </c>
    </row>
    <row r="133" spans="1:10" x14ac:dyDescent="0.35">
      <c r="A133" s="6" t="s">
        <v>83</v>
      </c>
      <c r="B133" s="6" t="s">
        <v>426</v>
      </c>
      <c r="C133" s="6" t="s">
        <v>689</v>
      </c>
      <c r="D133" s="6" t="s">
        <v>690</v>
      </c>
      <c r="E133" s="6">
        <v>95</v>
      </c>
      <c r="F133" s="6">
        <v>95</v>
      </c>
      <c r="G133" s="6">
        <v>96</v>
      </c>
      <c r="H133" s="6">
        <v>97</v>
      </c>
      <c r="I133" s="6">
        <v>95</v>
      </c>
      <c r="J133" s="6" t="s">
        <v>432</v>
      </c>
    </row>
    <row r="134" spans="1:10" x14ac:dyDescent="0.35">
      <c r="A134" s="6" t="s">
        <v>83</v>
      </c>
      <c r="B134" s="6" t="s">
        <v>426</v>
      </c>
      <c r="C134" s="6" t="s">
        <v>691</v>
      </c>
      <c r="D134" s="6" t="s">
        <v>692</v>
      </c>
      <c r="E134" s="6">
        <v>95</v>
      </c>
      <c r="F134" s="6">
        <v>95</v>
      </c>
      <c r="G134" s="6">
        <v>96</v>
      </c>
      <c r="H134" s="6">
        <v>96</v>
      </c>
      <c r="I134" s="6">
        <v>93</v>
      </c>
      <c r="J134" s="6" t="s">
        <v>432</v>
      </c>
    </row>
    <row r="135" spans="1:10" x14ac:dyDescent="0.35">
      <c r="A135" s="6" t="s">
        <v>83</v>
      </c>
      <c r="B135" s="6" t="s">
        <v>426</v>
      </c>
      <c r="C135" s="6" t="s">
        <v>693</v>
      </c>
      <c r="D135" s="6" t="s">
        <v>694</v>
      </c>
      <c r="E135" s="6">
        <v>95</v>
      </c>
      <c r="F135" s="6">
        <v>93</v>
      </c>
      <c r="G135" s="6">
        <v>95</v>
      </c>
      <c r="H135" s="6">
        <v>96</v>
      </c>
      <c r="I135" s="6">
        <v>95</v>
      </c>
      <c r="J135" s="6" t="s">
        <v>432</v>
      </c>
    </row>
    <row r="136" spans="1:10" x14ac:dyDescent="0.35">
      <c r="A136" s="6" t="s">
        <v>83</v>
      </c>
      <c r="B136" s="6" t="s">
        <v>426</v>
      </c>
      <c r="C136" s="6" t="s">
        <v>695</v>
      </c>
      <c r="D136" s="6" t="s">
        <v>696</v>
      </c>
      <c r="E136" s="6">
        <v>95</v>
      </c>
      <c r="F136" s="6">
        <v>94</v>
      </c>
      <c r="G136" s="6">
        <v>96</v>
      </c>
      <c r="H136" s="6">
        <v>96</v>
      </c>
      <c r="I136" s="6">
        <v>95</v>
      </c>
      <c r="J136" s="6" t="s">
        <v>432</v>
      </c>
    </row>
    <row r="137" spans="1:10" x14ac:dyDescent="0.35">
      <c r="A137" s="6" t="s">
        <v>83</v>
      </c>
      <c r="B137" s="6" t="s">
        <v>426</v>
      </c>
      <c r="C137" s="6" t="s">
        <v>697</v>
      </c>
      <c r="D137" s="6" t="s">
        <v>698</v>
      </c>
      <c r="E137" s="6">
        <v>95</v>
      </c>
      <c r="F137" s="6">
        <v>95</v>
      </c>
      <c r="G137" s="6">
        <v>95</v>
      </c>
      <c r="H137" s="6">
        <v>96</v>
      </c>
      <c r="I137" s="6">
        <v>95</v>
      </c>
      <c r="J137" s="6" t="s">
        <v>432</v>
      </c>
    </row>
    <row r="138" spans="1:10" x14ac:dyDescent="0.35">
      <c r="A138" s="6" t="s">
        <v>91</v>
      </c>
      <c r="B138" s="6" t="s">
        <v>426</v>
      </c>
      <c r="C138" s="6" t="s">
        <v>699</v>
      </c>
      <c r="D138" s="6" t="s">
        <v>700</v>
      </c>
      <c r="E138" s="6">
        <v>93</v>
      </c>
      <c r="F138" s="6">
        <v>90</v>
      </c>
      <c r="G138" s="6">
        <v>66</v>
      </c>
      <c r="H138" s="6">
        <v>68</v>
      </c>
      <c r="I138" s="6">
        <v>79</v>
      </c>
      <c r="J138" s="6" t="s">
        <v>463</v>
      </c>
    </row>
    <row r="139" spans="1:10" x14ac:dyDescent="0.35">
      <c r="A139" s="6" t="s">
        <v>91</v>
      </c>
      <c r="B139" s="6" t="s">
        <v>426</v>
      </c>
      <c r="C139" s="6" t="s">
        <v>701</v>
      </c>
      <c r="D139" s="6" t="s">
        <v>702</v>
      </c>
      <c r="E139" s="6">
        <v>92</v>
      </c>
      <c r="F139" s="6">
        <v>86</v>
      </c>
      <c r="G139" s="6">
        <v>62</v>
      </c>
      <c r="H139" s="6">
        <v>60</v>
      </c>
      <c r="I139" s="6">
        <v>75</v>
      </c>
      <c r="J139" s="6" t="s">
        <v>463</v>
      </c>
    </row>
    <row r="140" spans="1:10" x14ac:dyDescent="0.35">
      <c r="A140" s="6" t="s">
        <v>91</v>
      </c>
      <c r="B140" s="6" t="s">
        <v>426</v>
      </c>
      <c r="C140" s="6" t="s">
        <v>703</v>
      </c>
      <c r="D140" s="6" t="s">
        <v>704</v>
      </c>
      <c r="E140" s="6">
        <v>84</v>
      </c>
      <c r="F140" s="6">
        <v>85</v>
      </c>
      <c r="G140" s="6">
        <v>76</v>
      </c>
      <c r="H140" s="6">
        <v>64</v>
      </c>
      <c r="I140" s="6">
        <v>75</v>
      </c>
      <c r="J140" s="6" t="s">
        <v>463</v>
      </c>
    </row>
    <row r="141" spans="1:10" x14ac:dyDescent="0.35">
      <c r="A141" s="6" t="s">
        <v>91</v>
      </c>
      <c r="B141" s="6" t="s">
        <v>426</v>
      </c>
      <c r="C141" s="6" t="s">
        <v>705</v>
      </c>
      <c r="D141" s="6" t="s">
        <v>706</v>
      </c>
      <c r="E141" s="6">
        <v>89</v>
      </c>
      <c r="F141" s="6">
        <v>91</v>
      </c>
      <c r="G141" s="6">
        <v>70</v>
      </c>
      <c r="H141" s="6">
        <v>63</v>
      </c>
      <c r="I141" s="6">
        <v>80</v>
      </c>
      <c r="J141" s="6" t="s">
        <v>429</v>
      </c>
    </row>
    <row r="142" spans="1:10" x14ac:dyDescent="0.35">
      <c r="A142" s="6" t="s">
        <v>91</v>
      </c>
      <c r="B142" s="6" t="s">
        <v>426</v>
      </c>
      <c r="C142" s="6" t="s">
        <v>707</v>
      </c>
      <c r="D142" s="6" t="s">
        <v>708</v>
      </c>
      <c r="E142" s="6">
        <v>86</v>
      </c>
      <c r="F142" s="6">
        <v>89</v>
      </c>
      <c r="G142" s="6">
        <v>75</v>
      </c>
      <c r="H142" s="6">
        <v>74</v>
      </c>
      <c r="I142" s="6">
        <v>89</v>
      </c>
      <c r="J142" s="6" t="s">
        <v>429</v>
      </c>
    </row>
    <row r="143" spans="1:10" x14ac:dyDescent="0.35">
      <c r="A143" s="6" t="s">
        <v>91</v>
      </c>
      <c r="B143" s="6" t="s">
        <v>426</v>
      </c>
      <c r="C143" s="6" t="s">
        <v>709</v>
      </c>
      <c r="D143" s="6" t="s">
        <v>710</v>
      </c>
      <c r="E143" s="6">
        <v>77</v>
      </c>
      <c r="F143" s="6">
        <v>90</v>
      </c>
      <c r="G143" s="6">
        <v>58</v>
      </c>
      <c r="H143" s="6">
        <v>70</v>
      </c>
      <c r="I143" s="6">
        <v>69</v>
      </c>
      <c r="J143" s="6" t="s">
        <v>463</v>
      </c>
    </row>
    <row r="144" spans="1:10" x14ac:dyDescent="0.35">
      <c r="A144" s="6" t="s">
        <v>91</v>
      </c>
      <c r="B144" s="6" t="s">
        <v>426</v>
      </c>
      <c r="C144" s="6" t="s">
        <v>711</v>
      </c>
      <c r="D144" s="6" t="s">
        <v>712</v>
      </c>
      <c r="E144" s="6">
        <v>67</v>
      </c>
      <c r="F144" s="6">
        <v>73</v>
      </c>
      <c r="G144" s="6">
        <v>76</v>
      </c>
      <c r="H144" s="6">
        <v>78</v>
      </c>
      <c r="I144" s="6">
        <v>73</v>
      </c>
      <c r="J144" s="6" t="s">
        <v>463</v>
      </c>
    </row>
    <row r="145" spans="1:10" x14ac:dyDescent="0.35">
      <c r="A145" s="6" t="s">
        <v>91</v>
      </c>
      <c r="B145" s="6" t="s">
        <v>426</v>
      </c>
      <c r="C145" s="6" t="s">
        <v>488</v>
      </c>
      <c r="D145" s="6" t="s">
        <v>713</v>
      </c>
      <c r="E145" s="6">
        <v>81</v>
      </c>
      <c r="F145" s="6">
        <v>74</v>
      </c>
      <c r="G145" s="6">
        <v>58</v>
      </c>
      <c r="H145" s="6">
        <v>68</v>
      </c>
      <c r="I145" s="6">
        <v>66</v>
      </c>
      <c r="J145" s="6" t="s">
        <v>463</v>
      </c>
    </row>
    <row r="146" spans="1:10" x14ac:dyDescent="0.35">
      <c r="A146" s="6" t="s">
        <v>91</v>
      </c>
      <c r="B146" s="6" t="s">
        <v>426</v>
      </c>
      <c r="C146" s="6" t="s">
        <v>714</v>
      </c>
      <c r="D146" s="6" t="s">
        <v>715</v>
      </c>
      <c r="E146" s="6">
        <v>88</v>
      </c>
      <c r="F146" s="6">
        <v>66</v>
      </c>
      <c r="G146" s="6">
        <v>58</v>
      </c>
      <c r="H146" s="6">
        <v>75</v>
      </c>
      <c r="I146" s="6">
        <v>83</v>
      </c>
      <c r="J146" s="6" t="s">
        <v>429</v>
      </c>
    </row>
    <row r="147" spans="1:10" x14ac:dyDescent="0.35">
      <c r="A147" s="6" t="s">
        <v>91</v>
      </c>
      <c r="B147" s="6" t="s">
        <v>426</v>
      </c>
      <c r="C147" s="6" t="s">
        <v>716</v>
      </c>
      <c r="D147" s="6" t="s">
        <v>717</v>
      </c>
      <c r="E147" s="6">
        <v>75</v>
      </c>
      <c r="F147" s="6">
        <v>66</v>
      </c>
      <c r="G147" s="6">
        <v>58</v>
      </c>
      <c r="H147" s="6">
        <v>72</v>
      </c>
      <c r="I147" s="6">
        <v>76</v>
      </c>
      <c r="J147" s="6" t="s">
        <v>463</v>
      </c>
    </row>
    <row r="148" spans="1:10" x14ac:dyDescent="0.35">
      <c r="A148" s="6" t="s">
        <v>91</v>
      </c>
      <c r="B148" s="6" t="s">
        <v>426</v>
      </c>
      <c r="C148" s="6" t="s">
        <v>718</v>
      </c>
      <c r="D148" s="6" t="s">
        <v>719</v>
      </c>
      <c r="E148" s="6">
        <v>85</v>
      </c>
      <c r="F148" s="6">
        <v>74</v>
      </c>
      <c r="G148" s="6">
        <v>72</v>
      </c>
      <c r="H148" s="6">
        <v>58</v>
      </c>
      <c r="I148" s="6">
        <v>65</v>
      </c>
      <c r="J148" s="6" t="s">
        <v>463</v>
      </c>
    </row>
    <row r="149" spans="1:10" x14ac:dyDescent="0.35">
      <c r="A149" s="6" t="s">
        <v>91</v>
      </c>
      <c r="B149" s="6" t="s">
        <v>426</v>
      </c>
      <c r="C149" s="6" t="s">
        <v>720</v>
      </c>
      <c r="D149" s="6" t="s">
        <v>721</v>
      </c>
      <c r="E149" s="6">
        <v>75</v>
      </c>
      <c r="F149" s="6">
        <v>56</v>
      </c>
      <c r="G149" s="6">
        <v>61</v>
      </c>
      <c r="H149" s="6">
        <v>57</v>
      </c>
      <c r="I149" s="6">
        <v>74</v>
      </c>
      <c r="J149" s="6" t="s">
        <v>463</v>
      </c>
    </row>
    <row r="150" spans="1:10" x14ac:dyDescent="0.35">
      <c r="A150" s="6" t="s">
        <v>91</v>
      </c>
      <c r="B150" s="6" t="s">
        <v>426</v>
      </c>
      <c r="C150" s="6" t="s">
        <v>722</v>
      </c>
      <c r="D150" s="6" t="s">
        <v>723</v>
      </c>
      <c r="E150" s="6">
        <v>83</v>
      </c>
      <c r="F150" s="6">
        <v>56</v>
      </c>
      <c r="G150" s="6">
        <v>57</v>
      </c>
      <c r="H150" s="6">
        <v>57</v>
      </c>
      <c r="I150" s="6">
        <v>82</v>
      </c>
      <c r="J150" s="6" t="s">
        <v>429</v>
      </c>
    </row>
    <row r="151" spans="1:10" x14ac:dyDescent="0.35">
      <c r="A151" s="6" t="s">
        <v>91</v>
      </c>
      <c r="B151" s="6" t="s">
        <v>426</v>
      </c>
      <c r="C151" s="6" t="s">
        <v>724</v>
      </c>
      <c r="D151" s="6" t="s">
        <v>725</v>
      </c>
      <c r="E151" s="6">
        <v>83</v>
      </c>
      <c r="F151" s="6">
        <v>57</v>
      </c>
      <c r="G151" s="6">
        <v>58</v>
      </c>
      <c r="H151" s="6">
        <v>58</v>
      </c>
      <c r="I151" s="6">
        <v>81</v>
      </c>
      <c r="J151" s="6" t="s">
        <v>429</v>
      </c>
    </row>
    <row r="152" spans="1:10" x14ac:dyDescent="0.35">
      <c r="A152" s="6" t="s">
        <v>91</v>
      </c>
      <c r="B152" s="6" t="s">
        <v>426</v>
      </c>
      <c r="C152" s="6" t="s">
        <v>726</v>
      </c>
      <c r="D152" s="6" t="s">
        <v>727</v>
      </c>
      <c r="E152" s="6">
        <v>75</v>
      </c>
      <c r="F152" s="6">
        <v>66</v>
      </c>
      <c r="G152" s="6">
        <v>56</v>
      </c>
      <c r="H152" s="6">
        <v>57</v>
      </c>
      <c r="I152" s="6">
        <v>83</v>
      </c>
      <c r="J152" s="6" t="s">
        <v>429</v>
      </c>
    </row>
    <row r="153" spans="1:10" x14ac:dyDescent="0.35">
      <c r="A153" s="6" t="s">
        <v>91</v>
      </c>
      <c r="B153" s="6" t="s">
        <v>426</v>
      </c>
      <c r="C153" s="6" t="s">
        <v>728</v>
      </c>
      <c r="D153" s="6" t="s">
        <v>729</v>
      </c>
      <c r="E153" s="6">
        <v>67</v>
      </c>
      <c r="F153" s="6">
        <v>92</v>
      </c>
      <c r="G153" s="6">
        <v>64</v>
      </c>
      <c r="H153" s="6">
        <v>61</v>
      </c>
      <c r="I153" s="6">
        <v>73</v>
      </c>
      <c r="J153" s="6" t="s">
        <v>463</v>
      </c>
    </row>
    <row r="154" spans="1:10" x14ac:dyDescent="0.35">
      <c r="A154" s="6" t="s">
        <v>91</v>
      </c>
      <c r="B154" s="6" t="s">
        <v>426</v>
      </c>
      <c r="C154" s="6" t="s">
        <v>730</v>
      </c>
      <c r="D154" s="6" t="s">
        <v>731</v>
      </c>
      <c r="E154" s="6">
        <v>89</v>
      </c>
      <c r="F154" s="6">
        <v>89</v>
      </c>
      <c r="G154" s="6">
        <v>76</v>
      </c>
      <c r="H154" s="6">
        <v>75</v>
      </c>
      <c r="I154" s="6">
        <v>79</v>
      </c>
      <c r="J154" s="6" t="s">
        <v>463</v>
      </c>
    </row>
    <row r="155" spans="1:10" x14ac:dyDescent="0.35">
      <c r="A155" s="6" t="s">
        <v>91</v>
      </c>
      <c r="B155" s="6" t="s">
        <v>426</v>
      </c>
      <c r="C155" s="6" t="s">
        <v>732</v>
      </c>
      <c r="D155" s="6" t="s">
        <v>733</v>
      </c>
      <c r="E155" s="6">
        <v>80</v>
      </c>
      <c r="F155" s="6">
        <v>90</v>
      </c>
      <c r="G155" s="6">
        <v>58</v>
      </c>
      <c r="H155" s="6">
        <v>75</v>
      </c>
      <c r="I155" s="6">
        <v>69</v>
      </c>
      <c r="J155" s="6" t="s">
        <v>463</v>
      </c>
    </row>
    <row r="156" spans="1:10" x14ac:dyDescent="0.35">
      <c r="A156" s="6" t="s">
        <v>91</v>
      </c>
      <c r="B156" s="6" t="s">
        <v>426</v>
      </c>
      <c r="C156" s="6" t="s">
        <v>734</v>
      </c>
      <c r="D156" s="6" t="s">
        <v>735</v>
      </c>
      <c r="E156" s="6">
        <v>91</v>
      </c>
      <c r="F156" s="6">
        <v>91</v>
      </c>
      <c r="G156" s="6">
        <v>66</v>
      </c>
      <c r="H156" s="6">
        <v>74</v>
      </c>
      <c r="I156" s="6">
        <v>78</v>
      </c>
      <c r="J156" s="6" t="s">
        <v>463</v>
      </c>
    </row>
    <row r="157" spans="1:10" x14ac:dyDescent="0.35">
      <c r="A157" s="6" t="s">
        <v>91</v>
      </c>
      <c r="B157" s="6" t="s">
        <v>426</v>
      </c>
      <c r="C157" s="6" t="s">
        <v>736</v>
      </c>
      <c r="D157" s="6" t="s">
        <v>737</v>
      </c>
      <c r="E157" s="6">
        <v>93</v>
      </c>
      <c r="F157" s="6">
        <v>83</v>
      </c>
      <c r="G157" s="6">
        <v>71</v>
      </c>
      <c r="H157" s="6">
        <v>76</v>
      </c>
      <c r="I157" s="6">
        <v>82</v>
      </c>
      <c r="J157" s="6" t="s">
        <v>429</v>
      </c>
    </row>
    <row r="158" spans="1:10" x14ac:dyDescent="0.35">
      <c r="A158" s="6" t="s">
        <v>91</v>
      </c>
      <c r="B158" s="6" t="s">
        <v>426</v>
      </c>
      <c r="C158" s="6" t="s">
        <v>738</v>
      </c>
      <c r="D158" s="6" t="s">
        <v>739</v>
      </c>
      <c r="E158" s="6">
        <v>68</v>
      </c>
      <c r="F158" s="6">
        <v>67</v>
      </c>
      <c r="G158" s="6">
        <v>59</v>
      </c>
      <c r="H158" s="6">
        <v>59</v>
      </c>
      <c r="I158" s="6">
        <v>84</v>
      </c>
      <c r="J158" s="6" t="s">
        <v>429</v>
      </c>
    </row>
    <row r="159" spans="1:10" x14ac:dyDescent="0.35">
      <c r="A159" s="6" t="s">
        <v>91</v>
      </c>
      <c r="B159" s="6" t="s">
        <v>426</v>
      </c>
      <c r="C159" s="6" t="s">
        <v>740</v>
      </c>
      <c r="D159" s="6" t="s">
        <v>741</v>
      </c>
      <c r="E159" s="6">
        <v>84</v>
      </c>
      <c r="F159" s="6">
        <v>56</v>
      </c>
      <c r="G159" s="6">
        <v>57</v>
      </c>
      <c r="H159" s="6">
        <v>57</v>
      </c>
      <c r="I159" s="6">
        <v>70</v>
      </c>
      <c r="J159" s="6" t="s">
        <v>463</v>
      </c>
    </row>
    <row r="160" spans="1:10" x14ac:dyDescent="0.35">
      <c r="A160" s="6" t="s">
        <v>91</v>
      </c>
      <c r="B160" s="6" t="s">
        <v>426</v>
      </c>
      <c r="C160" s="6" t="s">
        <v>742</v>
      </c>
      <c r="D160" s="6" t="s">
        <v>743</v>
      </c>
      <c r="E160" s="6">
        <v>86</v>
      </c>
      <c r="F160" s="6">
        <v>78</v>
      </c>
      <c r="G160" s="6">
        <v>58</v>
      </c>
      <c r="H160" s="6">
        <v>68</v>
      </c>
      <c r="I160" s="6">
        <v>75</v>
      </c>
      <c r="J160" s="6" t="s">
        <v>463</v>
      </c>
    </row>
    <row r="161" spans="1:10" x14ac:dyDescent="0.35">
      <c r="A161" s="6" t="s">
        <v>90</v>
      </c>
      <c r="B161" s="6" t="s">
        <v>426</v>
      </c>
      <c r="C161" s="6" t="s">
        <v>744</v>
      </c>
      <c r="D161" s="6" t="s">
        <v>745</v>
      </c>
      <c r="E161" s="6">
        <v>73</v>
      </c>
      <c r="F161" s="6">
        <v>61</v>
      </c>
      <c r="G161" s="6">
        <v>60</v>
      </c>
      <c r="H161" s="6">
        <v>74</v>
      </c>
      <c r="I161" s="6">
        <v>65</v>
      </c>
      <c r="J161" s="6" t="s">
        <v>463</v>
      </c>
    </row>
    <row r="162" spans="1:10" x14ac:dyDescent="0.35">
      <c r="A162" s="6" t="s">
        <v>90</v>
      </c>
      <c r="B162" s="6" t="s">
        <v>426</v>
      </c>
      <c r="C162" s="6" t="s">
        <v>746</v>
      </c>
      <c r="D162" s="6" t="s">
        <v>747</v>
      </c>
      <c r="E162" s="6">
        <v>84</v>
      </c>
      <c r="F162" s="6">
        <v>67</v>
      </c>
      <c r="G162" s="6">
        <v>59</v>
      </c>
      <c r="H162" s="6">
        <v>75</v>
      </c>
      <c r="I162" s="6">
        <v>79</v>
      </c>
      <c r="J162" s="6" t="s">
        <v>463</v>
      </c>
    </row>
    <row r="163" spans="1:10" x14ac:dyDescent="0.35">
      <c r="A163" s="6" t="s">
        <v>90</v>
      </c>
      <c r="B163" s="6" t="s">
        <v>426</v>
      </c>
      <c r="C163" s="6" t="s">
        <v>748</v>
      </c>
      <c r="D163" s="6" t="s">
        <v>749</v>
      </c>
      <c r="E163" s="6">
        <v>75</v>
      </c>
      <c r="F163" s="6">
        <v>67</v>
      </c>
      <c r="G163" s="6">
        <v>59</v>
      </c>
      <c r="H163" s="6">
        <v>66</v>
      </c>
      <c r="I163" s="6">
        <v>67</v>
      </c>
      <c r="J163" s="6" t="s">
        <v>463</v>
      </c>
    </row>
    <row r="164" spans="1:10" x14ac:dyDescent="0.35">
      <c r="A164" s="6" t="s">
        <v>90</v>
      </c>
      <c r="B164" s="6" t="s">
        <v>426</v>
      </c>
      <c r="C164" s="6" t="s">
        <v>750</v>
      </c>
      <c r="D164" s="6" t="s">
        <v>751</v>
      </c>
      <c r="E164" s="6">
        <v>84</v>
      </c>
      <c r="F164" s="6">
        <v>60</v>
      </c>
      <c r="G164" s="6">
        <v>59</v>
      </c>
      <c r="H164" s="6">
        <v>66</v>
      </c>
      <c r="I164" s="6">
        <v>81</v>
      </c>
      <c r="J164" s="6" t="s">
        <v>429</v>
      </c>
    </row>
    <row r="165" spans="1:10" x14ac:dyDescent="0.35">
      <c r="A165" s="6" t="s">
        <v>90</v>
      </c>
      <c r="B165" s="6" t="s">
        <v>426</v>
      </c>
      <c r="C165" s="6" t="s">
        <v>752</v>
      </c>
      <c r="D165" s="6" t="s">
        <v>753</v>
      </c>
      <c r="E165" s="6">
        <v>69</v>
      </c>
      <c r="F165" s="6">
        <v>59</v>
      </c>
      <c r="G165" s="6">
        <v>59</v>
      </c>
      <c r="H165" s="6">
        <v>59</v>
      </c>
      <c r="I165" s="6">
        <v>74</v>
      </c>
      <c r="J165" s="6" t="s">
        <v>463</v>
      </c>
    </row>
    <row r="166" spans="1:10" x14ac:dyDescent="0.35">
      <c r="A166" s="6" t="s">
        <v>90</v>
      </c>
      <c r="B166" s="6" t="s">
        <v>426</v>
      </c>
      <c r="C166" s="6" t="s">
        <v>754</v>
      </c>
      <c r="D166" s="6" t="s">
        <v>755</v>
      </c>
      <c r="E166" s="6">
        <v>58</v>
      </c>
      <c r="F166" s="6">
        <v>59</v>
      </c>
      <c r="G166" s="6">
        <v>59</v>
      </c>
      <c r="H166" s="6">
        <v>74</v>
      </c>
      <c r="I166" s="6">
        <v>89</v>
      </c>
      <c r="J166" s="6" t="s">
        <v>429</v>
      </c>
    </row>
    <row r="167" spans="1:10" x14ac:dyDescent="0.35">
      <c r="A167" s="6" t="s">
        <v>90</v>
      </c>
      <c r="B167" s="6" t="s">
        <v>426</v>
      </c>
      <c r="C167" s="6" t="s">
        <v>756</v>
      </c>
      <c r="D167" s="6" t="s">
        <v>757</v>
      </c>
      <c r="E167" s="6">
        <v>59</v>
      </c>
      <c r="F167" s="6">
        <v>67</v>
      </c>
      <c r="G167" s="6">
        <v>59</v>
      </c>
      <c r="H167" s="6">
        <v>71</v>
      </c>
      <c r="I167" s="6">
        <v>81</v>
      </c>
      <c r="J167" s="6" t="s">
        <v>429</v>
      </c>
    </row>
    <row r="168" spans="1:10" x14ac:dyDescent="0.35">
      <c r="A168" s="6" t="s">
        <v>90</v>
      </c>
      <c r="B168" s="6" t="s">
        <v>426</v>
      </c>
      <c r="C168" s="6" t="s">
        <v>758</v>
      </c>
      <c r="D168" s="6" t="s">
        <v>759</v>
      </c>
      <c r="E168" s="6">
        <v>59</v>
      </c>
      <c r="F168" s="6">
        <v>60</v>
      </c>
      <c r="G168" s="6">
        <v>62</v>
      </c>
      <c r="H168" s="6">
        <v>59</v>
      </c>
      <c r="I168" s="6">
        <v>74</v>
      </c>
      <c r="J168" s="6" t="s">
        <v>463</v>
      </c>
    </row>
    <row r="169" spans="1:10" x14ac:dyDescent="0.35">
      <c r="A169" s="6" t="s">
        <v>90</v>
      </c>
      <c r="B169" s="6" t="s">
        <v>426</v>
      </c>
      <c r="C169" s="6" t="s">
        <v>760</v>
      </c>
      <c r="D169" s="6" t="s">
        <v>761</v>
      </c>
      <c r="E169" s="6">
        <v>70</v>
      </c>
      <c r="F169" s="6">
        <v>59</v>
      </c>
      <c r="G169" s="6">
        <v>65</v>
      </c>
      <c r="H169" s="6">
        <v>60</v>
      </c>
      <c r="I169" s="6">
        <v>60</v>
      </c>
      <c r="J169" s="6" t="s">
        <v>463</v>
      </c>
    </row>
    <row r="170" spans="1:10" x14ac:dyDescent="0.35">
      <c r="A170" s="6" t="s">
        <v>90</v>
      </c>
      <c r="B170" s="6" t="s">
        <v>426</v>
      </c>
      <c r="C170" s="6" t="s">
        <v>762</v>
      </c>
      <c r="D170" s="6" t="s">
        <v>763</v>
      </c>
      <c r="E170" s="6">
        <v>65</v>
      </c>
      <c r="F170" s="6">
        <v>57</v>
      </c>
      <c r="G170" s="6">
        <v>58</v>
      </c>
      <c r="H170" s="6">
        <v>61</v>
      </c>
      <c r="I170" s="6">
        <v>87</v>
      </c>
      <c r="J170" s="6" t="s">
        <v>429</v>
      </c>
    </row>
    <row r="171" spans="1:10" x14ac:dyDescent="0.35">
      <c r="A171" s="6" t="s">
        <v>90</v>
      </c>
      <c r="B171" s="6" t="s">
        <v>426</v>
      </c>
      <c r="C171" s="6" t="s">
        <v>764</v>
      </c>
      <c r="D171" s="6" t="s">
        <v>765</v>
      </c>
      <c r="E171" s="6">
        <v>76</v>
      </c>
      <c r="F171" s="6">
        <v>57</v>
      </c>
      <c r="G171" s="6">
        <v>59</v>
      </c>
      <c r="H171" s="6">
        <v>64</v>
      </c>
      <c r="I171" s="6">
        <v>87</v>
      </c>
      <c r="J171" s="6" t="s">
        <v>429</v>
      </c>
    </row>
    <row r="172" spans="1:10" x14ac:dyDescent="0.35">
      <c r="A172" s="6" t="s">
        <v>90</v>
      </c>
      <c r="B172" s="6" t="s">
        <v>426</v>
      </c>
      <c r="C172" s="6" t="s">
        <v>766</v>
      </c>
      <c r="D172" s="6" t="s">
        <v>767</v>
      </c>
      <c r="E172" s="6">
        <v>65</v>
      </c>
      <c r="F172" s="6">
        <v>58</v>
      </c>
      <c r="G172" s="6">
        <v>59</v>
      </c>
      <c r="H172" s="6">
        <v>58</v>
      </c>
      <c r="I172" s="6">
        <v>83</v>
      </c>
      <c r="J172" s="6" t="s">
        <v>429</v>
      </c>
    </row>
    <row r="173" spans="1:10" x14ac:dyDescent="0.35">
      <c r="A173" s="6" t="s">
        <v>90</v>
      </c>
      <c r="B173" s="6" t="s">
        <v>426</v>
      </c>
      <c r="C173" s="6" t="s">
        <v>768</v>
      </c>
      <c r="D173" s="6" t="s">
        <v>769</v>
      </c>
      <c r="E173" s="6">
        <v>58</v>
      </c>
      <c r="F173" s="6">
        <v>58</v>
      </c>
      <c r="G173" s="6">
        <v>59</v>
      </c>
      <c r="H173" s="6">
        <v>74</v>
      </c>
      <c r="I173" s="6">
        <v>59</v>
      </c>
      <c r="J173" s="6" t="s">
        <v>463</v>
      </c>
    </row>
    <row r="174" spans="1:10" x14ac:dyDescent="0.35">
      <c r="A174" s="6" t="s">
        <v>90</v>
      </c>
      <c r="B174" s="6" t="s">
        <v>426</v>
      </c>
      <c r="C174" s="6" t="s">
        <v>770</v>
      </c>
      <c r="D174" s="6" t="s">
        <v>771</v>
      </c>
      <c r="E174" s="6">
        <v>58</v>
      </c>
      <c r="F174" s="6">
        <v>58</v>
      </c>
      <c r="G174" s="6">
        <v>61</v>
      </c>
      <c r="H174" s="6">
        <v>72</v>
      </c>
      <c r="I174" s="6">
        <v>66</v>
      </c>
      <c r="J174" s="6" t="s">
        <v>463</v>
      </c>
    </row>
    <row r="175" spans="1:10" x14ac:dyDescent="0.35">
      <c r="A175" s="6" t="s">
        <v>90</v>
      </c>
      <c r="B175" s="6" t="s">
        <v>426</v>
      </c>
      <c r="C175" s="6" t="s">
        <v>772</v>
      </c>
      <c r="D175" s="6" t="s">
        <v>773</v>
      </c>
      <c r="E175" s="6">
        <v>58</v>
      </c>
      <c r="F175" s="6">
        <v>58</v>
      </c>
      <c r="G175" s="6">
        <v>59</v>
      </c>
      <c r="H175" s="6">
        <v>73</v>
      </c>
      <c r="I175" s="6">
        <v>62</v>
      </c>
      <c r="J175" s="6" t="s">
        <v>463</v>
      </c>
    </row>
    <row r="176" spans="1:10" x14ac:dyDescent="0.35">
      <c r="A176" s="6" t="s">
        <v>90</v>
      </c>
      <c r="B176" s="6" t="s">
        <v>426</v>
      </c>
      <c r="C176" s="6" t="s">
        <v>774</v>
      </c>
      <c r="D176" s="6" t="s">
        <v>775</v>
      </c>
      <c r="E176" s="6">
        <v>76</v>
      </c>
      <c r="F176" s="6">
        <v>85</v>
      </c>
      <c r="G176" s="6">
        <v>59</v>
      </c>
      <c r="H176" s="6">
        <v>64</v>
      </c>
      <c r="I176" s="6">
        <v>78</v>
      </c>
      <c r="J176" s="6" t="s">
        <v>463</v>
      </c>
    </row>
    <row r="177" spans="1:10" x14ac:dyDescent="0.35">
      <c r="A177" s="6" t="s">
        <v>90</v>
      </c>
      <c r="B177" s="6" t="s">
        <v>426</v>
      </c>
      <c r="C177" s="6" t="s">
        <v>776</v>
      </c>
      <c r="D177" s="6" t="s">
        <v>777</v>
      </c>
      <c r="E177" s="6">
        <v>83</v>
      </c>
      <c r="F177" s="6">
        <v>82</v>
      </c>
      <c r="G177" s="6">
        <v>58</v>
      </c>
      <c r="H177" s="6">
        <v>73</v>
      </c>
      <c r="I177" s="6">
        <v>73</v>
      </c>
      <c r="J177" s="6" t="s">
        <v>463</v>
      </c>
    </row>
    <row r="178" spans="1:10" x14ac:dyDescent="0.35">
      <c r="A178" s="6" t="s">
        <v>90</v>
      </c>
      <c r="B178" s="6" t="s">
        <v>426</v>
      </c>
      <c r="C178" s="6" t="s">
        <v>778</v>
      </c>
      <c r="D178" s="6" t="s">
        <v>779</v>
      </c>
      <c r="E178" s="6">
        <v>75</v>
      </c>
      <c r="F178" s="6">
        <v>62</v>
      </c>
      <c r="G178" s="6">
        <v>59</v>
      </c>
      <c r="H178" s="6">
        <v>89</v>
      </c>
      <c r="I178" s="6">
        <v>79</v>
      </c>
      <c r="J178" s="6" t="s">
        <v>463</v>
      </c>
    </row>
    <row r="179" spans="1:10" x14ac:dyDescent="0.35">
      <c r="A179" s="6" t="s">
        <v>90</v>
      </c>
      <c r="B179" s="6" t="s">
        <v>426</v>
      </c>
      <c r="C179" s="6" t="s">
        <v>780</v>
      </c>
      <c r="D179" s="6" t="s">
        <v>781</v>
      </c>
      <c r="E179" s="6">
        <v>76</v>
      </c>
      <c r="F179" s="6">
        <v>75</v>
      </c>
      <c r="G179" s="6">
        <v>58</v>
      </c>
      <c r="H179" s="6">
        <v>77</v>
      </c>
      <c r="I179" s="6">
        <v>79</v>
      </c>
      <c r="J179" s="6" t="s">
        <v>463</v>
      </c>
    </row>
    <row r="180" spans="1:10" x14ac:dyDescent="0.35">
      <c r="A180" s="6" t="s">
        <v>90</v>
      </c>
      <c r="B180" s="6" t="s">
        <v>426</v>
      </c>
      <c r="C180" s="6" t="s">
        <v>782</v>
      </c>
      <c r="D180" s="6" t="s">
        <v>783</v>
      </c>
      <c r="E180" s="6">
        <v>57</v>
      </c>
      <c r="F180" s="6">
        <v>58</v>
      </c>
      <c r="G180" s="6">
        <v>59</v>
      </c>
      <c r="H180" s="6">
        <v>69</v>
      </c>
      <c r="I180" s="6">
        <v>65</v>
      </c>
      <c r="J180" s="6" t="s">
        <v>463</v>
      </c>
    </row>
    <row r="181" spans="1:10" x14ac:dyDescent="0.35">
      <c r="A181" s="6" t="s">
        <v>90</v>
      </c>
      <c r="B181" s="6" t="s">
        <v>426</v>
      </c>
      <c r="C181" s="6" t="s">
        <v>784</v>
      </c>
      <c r="D181" s="6" t="s">
        <v>785</v>
      </c>
      <c r="E181" s="6">
        <v>58</v>
      </c>
      <c r="F181" s="6">
        <v>58</v>
      </c>
      <c r="G181" s="6">
        <v>59</v>
      </c>
      <c r="H181" s="6">
        <v>62</v>
      </c>
      <c r="I181" s="6">
        <v>69</v>
      </c>
      <c r="J181" s="6" t="s">
        <v>463</v>
      </c>
    </row>
    <row r="182" spans="1:10" x14ac:dyDescent="0.35">
      <c r="A182" s="6" t="s">
        <v>90</v>
      </c>
      <c r="B182" s="6" t="s">
        <v>426</v>
      </c>
      <c r="C182" s="6" t="s">
        <v>786</v>
      </c>
      <c r="D182" s="6" t="s">
        <v>787</v>
      </c>
      <c r="E182" s="6">
        <v>57</v>
      </c>
      <c r="F182" s="6">
        <v>61</v>
      </c>
      <c r="G182" s="6">
        <v>59</v>
      </c>
      <c r="H182" s="6">
        <v>68</v>
      </c>
      <c r="I182" s="6">
        <v>80</v>
      </c>
      <c r="J182" s="6" t="s">
        <v>429</v>
      </c>
    </row>
    <row r="183" spans="1:10" x14ac:dyDescent="0.35">
      <c r="A183" s="6" t="s">
        <v>90</v>
      </c>
      <c r="B183" s="6" t="s">
        <v>426</v>
      </c>
      <c r="C183" s="6" t="s">
        <v>788</v>
      </c>
      <c r="D183" s="6" t="s">
        <v>789</v>
      </c>
      <c r="E183" s="6">
        <v>58</v>
      </c>
      <c r="F183" s="6">
        <v>68</v>
      </c>
      <c r="G183" s="6">
        <v>58</v>
      </c>
      <c r="H183" s="6">
        <v>88</v>
      </c>
      <c r="I183" s="6">
        <v>62</v>
      </c>
      <c r="J183" s="6" t="s">
        <v>463</v>
      </c>
    </row>
    <row r="184" spans="1:10" x14ac:dyDescent="0.35">
      <c r="A184" s="6" t="s">
        <v>90</v>
      </c>
      <c r="B184" s="6" t="s">
        <v>426</v>
      </c>
      <c r="C184" s="6" t="s">
        <v>790</v>
      </c>
      <c r="D184" s="6" t="s">
        <v>791</v>
      </c>
      <c r="E184" s="6">
        <v>69</v>
      </c>
      <c r="F184" s="6">
        <v>58</v>
      </c>
      <c r="G184" s="6">
        <v>59</v>
      </c>
      <c r="H184" s="6">
        <v>81</v>
      </c>
      <c r="I184" s="6">
        <v>89</v>
      </c>
      <c r="J184" s="6" t="s">
        <v>429</v>
      </c>
    </row>
    <row r="185" spans="1:10" x14ac:dyDescent="0.35">
      <c r="A185" s="6" t="s">
        <v>94</v>
      </c>
      <c r="B185" s="6" t="s">
        <v>426</v>
      </c>
      <c r="C185" s="6" t="s">
        <v>792</v>
      </c>
      <c r="D185" s="6" t="s">
        <v>793</v>
      </c>
      <c r="E185" s="6">
        <v>59</v>
      </c>
      <c r="F185" s="6">
        <v>58</v>
      </c>
      <c r="G185" s="6">
        <v>59</v>
      </c>
      <c r="H185" s="6">
        <v>58</v>
      </c>
      <c r="I185" s="6">
        <v>83</v>
      </c>
      <c r="J185" s="6" t="s">
        <v>429</v>
      </c>
    </row>
    <row r="186" spans="1:10" x14ac:dyDescent="0.35">
      <c r="A186" s="6" t="s">
        <v>94</v>
      </c>
      <c r="B186" s="6" t="s">
        <v>426</v>
      </c>
      <c r="C186" s="6" t="s">
        <v>794</v>
      </c>
      <c r="D186" s="6" t="s">
        <v>795</v>
      </c>
      <c r="E186" s="6">
        <v>58</v>
      </c>
      <c r="F186" s="6">
        <v>58</v>
      </c>
      <c r="G186" s="6">
        <v>59</v>
      </c>
      <c r="H186" s="6">
        <v>72</v>
      </c>
      <c r="I186" s="6">
        <v>79</v>
      </c>
      <c r="J186" s="6" t="s">
        <v>463</v>
      </c>
    </row>
    <row r="187" spans="1:10" x14ac:dyDescent="0.35">
      <c r="A187" s="6" t="s">
        <v>94</v>
      </c>
      <c r="B187" s="6" t="s">
        <v>426</v>
      </c>
      <c r="C187" s="6" t="s">
        <v>796</v>
      </c>
      <c r="D187" s="6" t="s">
        <v>797</v>
      </c>
      <c r="E187" s="6">
        <v>58</v>
      </c>
      <c r="F187" s="6">
        <v>59</v>
      </c>
      <c r="G187" s="6">
        <v>59</v>
      </c>
      <c r="H187" s="6">
        <v>76</v>
      </c>
      <c r="I187" s="6">
        <v>75</v>
      </c>
      <c r="J187" s="6" t="s">
        <v>463</v>
      </c>
    </row>
    <row r="188" spans="1:10" x14ac:dyDescent="0.35">
      <c r="A188" s="6" t="s">
        <v>94</v>
      </c>
      <c r="B188" s="6" t="s">
        <v>426</v>
      </c>
      <c r="C188" s="6" t="s">
        <v>798</v>
      </c>
      <c r="D188" s="6" t="s">
        <v>799</v>
      </c>
      <c r="E188" s="6">
        <v>57</v>
      </c>
      <c r="F188" s="6">
        <v>58</v>
      </c>
      <c r="G188" s="6">
        <v>59</v>
      </c>
      <c r="H188" s="6">
        <v>74</v>
      </c>
      <c r="I188" s="6">
        <v>88</v>
      </c>
      <c r="J188" s="6" t="s">
        <v>429</v>
      </c>
    </row>
    <row r="189" spans="1:10" x14ac:dyDescent="0.35">
      <c r="A189" s="6" t="s">
        <v>94</v>
      </c>
      <c r="B189" s="6" t="s">
        <v>426</v>
      </c>
      <c r="C189" s="6" t="s">
        <v>800</v>
      </c>
      <c r="D189" s="6" t="s">
        <v>801</v>
      </c>
      <c r="E189" s="6">
        <v>59</v>
      </c>
      <c r="F189" s="6">
        <v>60</v>
      </c>
      <c r="G189" s="6">
        <v>59</v>
      </c>
      <c r="H189" s="6">
        <v>65</v>
      </c>
      <c r="I189" s="6">
        <v>71</v>
      </c>
      <c r="J189" s="6" t="s">
        <v>463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F44"/>
  <sheetViews>
    <sheetView workbookViewId="0">
      <pane ySplit="1" topLeftCell="A2" activePane="bottomLeft" state="frozen"/>
      <selection pane="bottomLeft"/>
    </sheetView>
  </sheetViews>
  <sheetFormatPr defaultRowHeight="14.5" x14ac:dyDescent="0.35"/>
  <cols>
    <col min="1" max="6" width="22" customWidth="1"/>
  </cols>
  <sheetData>
    <row r="1" spans="1:6" x14ac:dyDescent="0.35">
      <c r="A1" s="11" t="s">
        <v>802</v>
      </c>
      <c r="B1" s="11" t="s">
        <v>3</v>
      </c>
      <c r="C1" s="11" t="s">
        <v>803</v>
      </c>
      <c r="D1" s="11" t="s">
        <v>804</v>
      </c>
      <c r="E1" s="11" t="s">
        <v>805</v>
      </c>
      <c r="F1" s="11" t="s">
        <v>112</v>
      </c>
    </row>
    <row r="2" spans="1:6" x14ac:dyDescent="0.35">
      <c r="A2" s="6" t="s">
        <v>806</v>
      </c>
      <c r="B2" s="6" t="s">
        <v>86</v>
      </c>
      <c r="C2" s="6" t="s">
        <v>807</v>
      </c>
      <c r="D2" s="6">
        <v>18</v>
      </c>
      <c r="E2" s="6" t="s">
        <v>808</v>
      </c>
      <c r="F2" s="6">
        <v>53.34</v>
      </c>
    </row>
    <row r="3" spans="1:6" x14ac:dyDescent="0.35">
      <c r="A3" s="6" t="s">
        <v>806</v>
      </c>
      <c r="B3" s="6" t="s">
        <v>93</v>
      </c>
      <c r="C3" s="6" t="s">
        <v>809</v>
      </c>
      <c r="D3" s="6">
        <v>6</v>
      </c>
      <c r="E3" s="6" t="s">
        <v>810</v>
      </c>
      <c r="F3" s="6">
        <v>63.54</v>
      </c>
    </row>
    <row r="4" spans="1:6" x14ac:dyDescent="0.35">
      <c r="A4" s="6" t="s">
        <v>806</v>
      </c>
      <c r="B4" s="6" t="s">
        <v>93</v>
      </c>
      <c r="C4" s="6" t="s">
        <v>811</v>
      </c>
      <c r="D4" s="6">
        <v>5</v>
      </c>
      <c r="E4" s="6" t="s">
        <v>808</v>
      </c>
      <c r="F4" s="6">
        <v>47.63</v>
      </c>
    </row>
    <row r="5" spans="1:6" x14ac:dyDescent="0.35">
      <c r="A5" s="6" t="s">
        <v>806</v>
      </c>
      <c r="B5" s="6" t="s">
        <v>93</v>
      </c>
      <c r="C5" s="6" t="s">
        <v>812</v>
      </c>
      <c r="D5" s="6">
        <v>4</v>
      </c>
      <c r="E5" s="6" t="s">
        <v>808</v>
      </c>
      <c r="F5" s="6">
        <v>46.09</v>
      </c>
    </row>
    <row r="6" spans="1:6" x14ac:dyDescent="0.35">
      <c r="A6" s="6" t="s">
        <v>806</v>
      </c>
      <c r="B6" s="6" t="s">
        <v>93</v>
      </c>
      <c r="C6" s="6" t="s">
        <v>813</v>
      </c>
      <c r="D6" s="6">
        <v>12</v>
      </c>
      <c r="E6" s="6" t="s">
        <v>808</v>
      </c>
      <c r="F6" s="6">
        <v>41.31</v>
      </c>
    </row>
    <row r="7" spans="1:6" x14ac:dyDescent="0.35">
      <c r="A7" s="6" t="s">
        <v>806</v>
      </c>
      <c r="B7" s="6" t="s">
        <v>93</v>
      </c>
      <c r="C7" s="6" t="s">
        <v>814</v>
      </c>
      <c r="D7" s="6">
        <v>12</v>
      </c>
      <c r="E7" s="6" t="s">
        <v>808</v>
      </c>
      <c r="F7" s="6">
        <v>48.28</v>
      </c>
    </row>
    <row r="8" spans="1:6" x14ac:dyDescent="0.35">
      <c r="A8" s="6" t="s">
        <v>806</v>
      </c>
      <c r="B8" s="6" t="s">
        <v>93</v>
      </c>
      <c r="C8" s="6" t="s">
        <v>815</v>
      </c>
      <c r="D8" s="6">
        <v>1</v>
      </c>
      <c r="E8" s="6" t="s">
        <v>816</v>
      </c>
      <c r="F8" s="6">
        <v>43.44</v>
      </c>
    </row>
    <row r="9" spans="1:6" x14ac:dyDescent="0.35">
      <c r="A9" s="6" t="s">
        <v>806</v>
      </c>
      <c r="B9" s="6" t="s">
        <v>93</v>
      </c>
      <c r="C9" s="6" t="s">
        <v>817</v>
      </c>
      <c r="D9" s="6">
        <v>6</v>
      </c>
      <c r="E9" s="6" t="s">
        <v>808</v>
      </c>
      <c r="F9" s="6">
        <v>51.46</v>
      </c>
    </row>
    <row r="10" spans="1:6" x14ac:dyDescent="0.35">
      <c r="A10" s="6" t="s">
        <v>806</v>
      </c>
      <c r="B10" s="6" t="s">
        <v>81</v>
      </c>
      <c r="C10" s="6" t="s">
        <v>818</v>
      </c>
      <c r="D10" s="6">
        <v>6</v>
      </c>
      <c r="E10" s="6" t="s">
        <v>808</v>
      </c>
      <c r="F10" s="6">
        <v>39.17</v>
      </c>
    </row>
    <row r="11" spans="1:6" x14ac:dyDescent="0.35">
      <c r="A11" s="6" t="s">
        <v>806</v>
      </c>
      <c r="B11" s="6" t="s">
        <v>81</v>
      </c>
      <c r="C11" s="6" t="s">
        <v>819</v>
      </c>
      <c r="D11" s="6">
        <v>7</v>
      </c>
      <c r="E11" s="6" t="s">
        <v>808</v>
      </c>
      <c r="F11" s="6">
        <v>48.39</v>
      </c>
    </row>
    <row r="12" spans="1:6" x14ac:dyDescent="0.35">
      <c r="A12" s="6" t="s">
        <v>806</v>
      </c>
      <c r="B12" s="6" t="s">
        <v>81</v>
      </c>
      <c r="C12" s="6" t="s">
        <v>820</v>
      </c>
      <c r="D12" s="6">
        <v>9</v>
      </c>
      <c r="E12" s="6" t="s">
        <v>808</v>
      </c>
      <c r="F12" s="6">
        <v>56.94</v>
      </c>
    </row>
    <row r="13" spans="1:6" x14ac:dyDescent="0.35">
      <c r="A13" s="6" t="s">
        <v>806</v>
      </c>
      <c r="B13" s="6" t="s">
        <v>81</v>
      </c>
      <c r="C13" s="6" t="s">
        <v>821</v>
      </c>
      <c r="D13" s="6">
        <v>7</v>
      </c>
      <c r="E13" s="6" t="s">
        <v>808</v>
      </c>
      <c r="F13" s="6">
        <v>52.59</v>
      </c>
    </row>
    <row r="14" spans="1:6" x14ac:dyDescent="0.35">
      <c r="A14" s="6" t="s">
        <v>806</v>
      </c>
      <c r="B14" s="6" t="s">
        <v>81</v>
      </c>
      <c r="C14" s="6" t="s">
        <v>822</v>
      </c>
      <c r="D14" s="6">
        <v>9</v>
      </c>
      <c r="E14" s="6" t="s">
        <v>808</v>
      </c>
      <c r="F14" s="6">
        <v>53.19</v>
      </c>
    </row>
    <row r="15" spans="1:6" x14ac:dyDescent="0.35">
      <c r="A15" s="6" t="s">
        <v>806</v>
      </c>
      <c r="B15" s="6" t="s">
        <v>81</v>
      </c>
      <c r="C15" s="6" t="s">
        <v>823</v>
      </c>
      <c r="D15" s="6">
        <v>2</v>
      </c>
      <c r="E15" s="6" t="s">
        <v>816</v>
      </c>
      <c r="F15" s="6">
        <v>51.88</v>
      </c>
    </row>
    <row r="16" spans="1:6" x14ac:dyDescent="0.35">
      <c r="A16" s="6" t="s">
        <v>806</v>
      </c>
      <c r="B16" s="6" t="s">
        <v>81</v>
      </c>
      <c r="C16" s="6" t="s">
        <v>824</v>
      </c>
      <c r="D16" s="6">
        <v>7</v>
      </c>
      <c r="E16" s="6" t="s">
        <v>808</v>
      </c>
      <c r="F16" s="6">
        <v>69.2</v>
      </c>
    </row>
    <row r="17" spans="1:6" x14ac:dyDescent="0.35">
      <c r="A17" s="6" t="s">
        <v>806</v>
      </c>
      <c r="B17" s="6" t="s">
        <v>81</v>
      </c>
      <c r="C17" s="6" t="s">
        <v>825</v>
      </c>
      <c r="D17" s="6">
        <v>3</v>
      </c>
      <c r="E17" s="6" t="s">
        <v>816</v>
      </c>
      <c r="F17" s="6">
        <v>76.040000000000006</v>
      </c>
    </row>
    <row r="18" spans="1:6" x14ac:dyDescent="0.35">
      <c r="A18" s="6" t="s">
        <v>806</v>
      </c>
      <c r="B18" s="6" t="s">
        <v>81</v>
      </c>
      <c r="C18" s="6" t="s">
        <v>826</v>
      </c>
      <c r="D18" s="6">
        <v>4</v>
      </c>
      <c r="E18" s="6" t="s">
        <v>808</v>
      </c>
      <c r="F18" s="6">
        <v>48.91</v>
      </c>
    </row>
    <row r="19" spans="1:6" x14ac:dyDescent="0.35">
      <c r="A19" s="6" t="s">
        <v>806</v>
      </c>
      <c r="B19" s="6" t="s">
        <v>81</v>
      </c>
      <c r="C19" s="6" t="s">
        <v>827</v>
      </c>
      <c r="D19" s="6">
        <v>9</v>
      </c>
      <c r="E19" s="6" t="s">
        <v>808</v>
      </c>
      <c r="F19" s="6">
        <v>62.36</v>
      </c>
    </row>
    <row r="20" spans="1:6" x14ac:dyDescent="0.35">
      <c r="A20" s="6" t="s">
        <v>806</v>
      </c>
      <c r="B20" s="6" t="s">
        <v>81</v>
      </c>
      <c r="C20" s="6" t="s">
        <v>828</v>
      </c>
      <c r="D20" s="6">
        <v>6</v>
      </c>
      <c r="E20" s="6" t="s">
        <v>808</v>
      </c>
      <c r="F20" s="6">
        <v>53.85</v>
      </c>
    </row>
    <row r="21" spans="1:6" x14ac:dyDescent="0.35">
      <c r="A21" s="6" t="s">
        <v>806</v>
      </c>
      <c r="B21" s="6" t="s">
        <v>81</v>
      </c>
      <c r="C21" s="6" t="s">
        <v>829</v>
      </c>
      <c r="D21" s="6">
        <v>11</v>
      </c>
      <c r="E21" s="6" t="s">
        <v>808</v>
      </c>
      <c r="F21" s="6">
        <v>53.41</v>
      </c>
    </row>
    <row r="22" spans="1:6" x14ac:dyDescent="0.35">
      <c r="A22" s="6" t="s">
        <v>806</v>
      </c>
      <c r="B22" s="6" t="s">
        <v>81</v>
      </c>
      <c r="C22" s="6" t="s">
        <v>830</v>
      </c>
      <c r="D22" s="6">
        <v>4</v>
      </c>
      <c r="E22" s="6" t="s">
        <v>808</v>
      </c>
      <c r="F22" s="6">
        <v>48.28</v>
      </c>
    </row>
    <row r="23" spans="1:6" x14ac:dyDescent="0.35">
      <c r="A23" s="6" t="s">
        <v>806</v>
      </c>
      <c r="B23" s="6" t="s">
        <v>91</v>
      </c>
      <c r="C23" s="6" t="s">
        <v>831</v>
      </c>
      <c r="D23" s="6">
        <v>4</v>
      </c>
      <c r="E23" s="6" t="s">
        <v>832</v>
      </c>
      <c r="F23" s="6">
        <v>48.59</v>
      </c>
    </row>
    <row r="24" spans="1:6" x14ac:dyDescent="0.35">
      <c r="A24" s="6" t="s">
        <v>833</v>
      </c>
      <c r="B24" s="6" t="s">
        <v>82</v>
      </c>
      <c r="C24" s="6" t="s">
        <v>834</v>
      </c>
      <c r="D24" s="6">
        <v>5</v>
      </c>
      <c r="E24" s="6" t="s">
        <v>808</v>
      </c>
      <c r="F24" s="6">
        <v>57.13</v>
      </c>
    </row>
    <row r="25" spans="1:6" x14ac:dyDescent="0.35">
      <c r="A25" s="6" t="s">
        <v>833</v>
      </c>
      <c r="B25" s="6" t="s">
        <v>82</v>
      </c>
      <c r="C25" s="6" t="s">
        <v>835</v>
      </c>
      <c r="D25" s="6">
        <v>1</v>
      </c>
      <c r="E25" s="6" t="s">
        <v>836</v>
      </c>
      <c r="F25" s="6">
        <v>67.5</v>
      </c>
    </row>
    <row r="26" spans="1:6" x14ac:dyDescent="0.35">
      <c r="A26" s="6" t="s">
        <v>833</v>
      </c>
      <c r="B26" s="6" t="s">
        <v>87</v>
      </c>
      <c r="C26" s="6" t="s">
        <v>837</v>
      </c>
      <c r="D26" s="6">
        <v>1</v>
      </c>
      <c r="E26" s="6" t="s">
        <v>816</v>
      </c>
      <c r="F26" s="6">
        <v>61.25</v>
      </c>
    </row>
    <row r="27" spans="1:6" x14ac:dyDescent="0.35">
      <c r="A27" s="6" t="s">
        <v>833</v>
      </c>
      <c r="B27" s="6" t="s">
        <v>87</v>
      </c>
      <c r="C27" s="6" t="s">
        <v>838</v>
      </c>
      <c r="D27" s="6">
        <v>9</v>
      </c>
      <c r="E27" s="6" t="s">
        <v>816</v>
      </c>
      <c r="F27" s="6">
        <v>29.31</v>
      </c>
    </row>
    <row r="28" spans="1:6" x14ac:dyDescent="0.35">
      <c r="A28" s="6" t="s">
        <v>833</v>
      </c>
      <c r="B28" s="6" t="s">
        <v>122</v>
      </c>
      <c r="C28" s="6" t="s">
        <v>122</v>
      </c>
      <c r="D28" s="6">
        <v>5</v>
      </c>
      <c r="E28" s="6" t="s">
        <v>816</v>
      </c>
      <c r="F28" s="6">
        <v>30.13</v>
      </c>
    </row>
    <row r="29" spans="1:6" x14ac:dyDescent="0.35">
      <c r="A29" s="6" t="s">
        <v>833</v>
      </c>
      <c r="B29" s="6" t="s">
        <v>124</v>
      </c>
      <c r="C29" s="6" t="s">
        <v>839</v>
      </c>
      <c r="D29" s="6">
        <v>2</v>
      </c>
      <c r="E29" s="6" t="s">
        <v>816</v>
      </c>
      <c r="F29" s="6">
        <v>16.559999999999999</v>
      </c>
    </row>
    <row r="30" spans="1:6" x14ac:dyDescent="0.35">
      <c r="A30" s="6" t="s">
        <v>840</v>
      </c>
      <c r="B30" s="6" t="s">
        <v>90</v>
      </c>
      <c r="C30" s="6" t="s">
        <v>841</v>
      </c>
      <c r="D30" s="6">
        <v>6</v>
      </c>
      <c r="E30" s="6" t="s">
        <v>816</v>
      </c>
      <c r="F30" s="6">
        <v>24.27</v>
      </c>
    </row>
    <row r="31" spans="1:6" x14ac:dyDescent="0.35">
      <c r="A31" s="6" t="s">
        <v>840</v>
      </c>
      <c r="B31" s="6" t="s">
        <v>90</v>
      </c>
      <c r="C31" s="6" t="s">
        <v>162</v>
      </c>
      <c r="D31" s="6">
        <v>4</v>
      </c>
      <c r="E31" s="6" t="s">
        <v>808</v>
      </c>
      <c r="F31" s="6">
        <v>42.19</v>
      </c>
    </row>
    <row r="32" spans="1:6" x14ac:dyDescent="0.35">
      <c r="A32" s="6" t="s">
        <v>840</v>
      </c>
      <c r="B32" s="6" t="s">
        <v>90</v>
      </c>
      <c r="C32" s="6" t="s">
        <v>842</v>
      </c>
      <c r="D32" s="6">
        <v>15</v>
      </c>
      <c r="E32" s="6" t="s">
        <v>816</v>
      </c>
      <c r="F32" s="6">
        <v>43</v>
      </c>
    </row>
    <row r="33" spans="1:6" x14ac:dyDescent="0.35">
      <c r="A33" s="6" t="s">
        <v>840</v>
      </c>
      <c r="B33" s="6" t="s">
        <v>90</v>
      </c>
      <c r="C33" s="6" t="s">
        <v>843</v>
      </c>
      <c r="D33" s="6">
        <v>15</v>
      </c>
      <c r="E33" s="6" t="s">
        <v>844</v>
      </c>
      <c r="F33" s="6">
        <v>54.92</v>
      </c>
    </row>
    <row r="34" spans="1:6" x14ac:dyDescent="0.35">
      <c r="A34" s="6" t="s">
        <v>840</v>
      </c>
      <c r="B34" s="6" t="s">
        <v>90</v>
      </c>
      <c r="C34" s="6" t="s">
        <v>845</v>
      </c>
      <c r="D34" s="6">
        <v>5</v>
      </c>
      <c r="E34" s="6" t="s">
        <v>816</v>
      </c>
      <c r="F34" s="6">
        <v>55.63</v>
      </c>
    </row>
    <row r="35" spans="1:6" x14ac:dyDescent="0.35">
      <c r="A35" s="6" t="s">
        <v>840</v>
      </c>
      <c r="B35" s="6" t="s">
        <v>90</v>
      </c>
      <c r="C35" s="6" t="s">
        <v>846</v>
      </c>
      <c r="D35" s="6">
        <v>6</v>
      </c>
      <c r="E35" s="6" t="s">
        <v>816</v>
      </c>
      <c r="F35" s="6">
        <v>33.229999999999997</v>
      </c>
    </row>
    <row r="36" spans="1:6" x14ac:dyDescent="0.35">
      <c r="A36" s="6" t="s">
        <v>840</v>
      </c>
      <c r="B36" s="6" t="s">
        <v>90</v>
      </c>
      <c r="C36" s="6" t="s">
        <v>847</v>
      </c>
      <c r="D36" s="6">
        <v>12</v>
      </c>
      <c r="E36" s="6" t="s">
        <v>816</v>
      </c>
      <c r="F36" s="6">
        <v>51.93</v>
      </c>
    </row>
    <row r="37" spans="1:6" x14ac:dyDescent="0.35">
      <c r="A37" s="6" t="s">
        <v>840</v>
      </c>
      <c r="B37" s="6" t="s">
        <v>90</v>
      </c>
      <c r="C37" s="6" t="s">
        <v>848</v>
      </c>
      <c r="D37" s="6">
        <v>6</v>
      </c>
      <c r="E37" s="6" t="s">
        <v>816</v>
      </c>
      <c r="F37" s="6">
        <v>36.04</v>
      </c>
    </row>
    <row r="38" spans="1:6" x14ac:dyDescent="0.35">
      <c r="A38" s="6" t="s">
        <v>840</v>
      </c>
      <c r="B38" s="6" t="s">
        <v>90</v>
      </c>
      <c r="C38" s="6" t="s">
        <v>849</v>
      </c>
      <c r="D38" s="6">
        <v>9</v>
      </c>
      <c r="E38" s="6" t="s">
        <v>850</v>
      </c>
      <c r="F38" s="6">
        <v>42.92</v>
      </c>
    </row>
    <row r="39" spans="1:6" x14ac:dyDescent="0.35">
      <c r="A39" s="6" t="s">
        <v>840</v>
      </c>
      <c r="B39" s="6" t="s">
        <v>90</v>
      </c>
      <c r="C39" s="6" t="s">
        <v>851</v>
      </c>
      <c r="D39" s="6">
        <v>7</v>
      </c>
      <c r="E39" s="6" t="s">
        <v>850</v>
      </c>
      <c r="F39" s="6">
        <v>33.39</v>
      </c>
    </row>
    <row r="40" spans="1:6" x14ac:dyDescent="0.35">
      <c r="A40" s="6" t="s">
        <v>840</v>
      </c>
      <c r="B40" s="6" t="s">
        <v>90</v>
      </c>
      <c r="C40" s="6" t="s">
        <v>852</v>
      </c>
      <c r="D40" s="6">
        <v>12</v>
      </c>
      <c r="E40" s="6" t="s">
        <v>850</v>
      </c>
      <c r="F40" s="6">
        <v>50.57</v>
      </c>
    </row>
    <row r="41" spans="1:6" x14ac:dyDescent="0.35">
      <c r="A41" s="6" t="s">
        <v>840</v>
      </c>
      <c r="B41" s="6" t="s">
        <v>90</v>
      </c>
      <c r="C41" s="6" t="s">
        <v>853</v>
      </c>
      <c r="D41" s="6">
        <v>8</v>
      </c>
      <c r="E41" s="6" t="s">
        <v>850</v>
      </c>
      <c r="F41" s="6">
        <v>20.079999999999998</v>
      </c>
    </row>
    <row r="42" spans="1:6" x14ac:dyDescent="0.35">
      <c r="A42" s="6" t="s">
        <v>840</v>
      </c>
      <c r="B42" s="6" t="s">
        <v>90</v>
      </c>
      <c r="C42" s="6" t="s">
        <v>854</v>
      </c>
      <c r="D42" s="6">
        <v>18</v>
      </c>
      <c r="E42" s="6" t="s">
        <v>850</v>
      </c>
      <c r="F42" s="6">
        <v>45.59</v>
      </c>
    </row>
    <row r="43" spans="1:6" x14ac:dyDescent="0.35">
      <c r="A43" s="6" t="s">
        <v>840</v>
      </c>
      <c r="B43" s="6" t="s">
        <v>90</v>
      </c>
      <c r="C43" s="6" t="s">
        <v>855</v>
      </c>
      <c r="D43" s="6">
        <v>12</v>
      </c>
      <c r="E43" s="6" t="s">
        <v>850</v>
      </c>
      <c r="F43" s="6">
        <v>51.56</v>
      </c>
    </row>
    <row r="44" spans="1:6" x14ac:dyDescent="0.35">
      <c r="A44" s="6" t="s">
        <v>840</v>
      </c>
      <c r="B44" s="6" t="s">
        <v>90</v>
      </c>
      <c r="C44" s="6" t="s">
        <v>856</v>
      </c>
      <c r="D44" s="6">
        <v>6</v>
      </c>
      <c r="E44" s="6" t="s">
        <v>816</v>
      </c>
      <c r="F44" s="6">
        <v>29.9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2"/>
  <sheetViews>
    <sheetView workbookViewId="0">
      <pane ySplit="4" topLeftCell="A5" activePane="bottomLeft" state="frozen"/>
      <selection pane="bottomLeft"/>
    </sheetView>
  </sheetViews>
  <sheetFormatPr defaultRowHeight="14.5" x14ac:dyDescent="0.35"/>
  <cols>
    <col min="1" max="1" width="4" customWidth="1"/>
    <col min="2" max="2" width="32" customWidth="1"/>
    <col min="3" max="3" width="40" customWidth="1"/>
    <col min="4" max="4" width="34" customWidth="1"/>
    <col min="5" max="5" width="40" customWidth="1"/>
  </cols>
  <sheetData>
    <row r="1" spans="1:5" ht="17" x14ac:dyDescent="0.4">
      <c r="A1" s="28" t="s">
        <v>857</v>
      </c>
    </row>
    <row r="2" spans="1:5" ht="30" customHeight="1" x14ac:dyDescent="0.35">
      <c r="A2" s="31" t="s">
        <v>858</v>
      </c>
      <c r="B2" s="32"/>
      <c r="C2" s="32"/>
      <c r="D2" s="32"/>
      <c r="E2" s="32"/>
    </row>
    <row r="4" spans="1:5" x14ac:dyDescent="0.35">
      <c r="A4" s="30" t="s">
        <v>859</v>
      </c>
      <c r="B4" s="30" t="s">
        <v>860</v>
      </c>
      <c r="C4" s="30" t="s">
        <v>861</v>
      </c>
      <c r="D4" s="30" t="s">
        <v>862</v>
      </c>
      <c r="E4" s="30" t="s">
        <v>863</v>
      </c>
    </row>
    <row r="5" spans="1:5" ht="60" customHeight="1" x14ac:dyDescent="0.35">
      <c r="A5">
        <v>1</v>
      </c>
      <c r="B5" s="29" t="s">
        <v>864</v>
      </c>
      <c r="C5" s="29" t="s">
        <v>865</v>
      </c>
      <c r="D5" s="29" t="s">
        <v>866</v>
      </c>
      <c r="E5" s="29" t="s">
        <v>867</v>
      </c>
    </row>
    <row r="6" spans="1:5" ht="60" customHeight="1" x14ac:dyDescent="0.35">
      <c r="A6">
        <v>2</v>
      </c>
      <c r="B6" s="29" t="s">
        <v>868</v>
      </c>
      <c r="C6" s="29" t="s">
        <v>869</v>
      </c>
      <c r="D6" s="29" t="s">
        <v>870</v>
      </c>
      <c r="E6" s="29" t="s">
        <v>871</v>
      </c>
    </row>
    <row r="7" spans="1:5" ht="60" customHeight="1" x14ac:dyDescent="0.35">
      <c r="A7">
        <v>3</v>
      </c>
      <c r="B7" s="29" t="s">
        <v>872</v>
      </c>
      <c r="C7" s="29" t="s">
        <v>873</v>
      </c>
      <c r="D7" s="29" t="s">
        <v>874</v>
      </c>
      <c r="E7" s="29" t="s">
        <v>875</v>
      </c>
    </row>
    <row r="8" spans="1:5" ht="60" customHeight="1" x14ac:dyDescent="0.35">
      <c r="A8">
        <v>4</v>
      </c>
      <c r="B8" s="29" t="s">
        <v>876</v>
      </c>
      <c r="C8" s="29" t="s">
        <v>877</v>
      </c>
      <c r="D8" s="29" t="s">
        <v>878</v>
      </c>
      <c r="E8" s="29" t="s">
        <v>879</v>
      </c>
    </row>
    <row r="9" spans="1:5" ht="60" customHeight="1" x14ac:dyDescent="0.35">
      <c r="A9">
        <v>5</v>
      </c>
      <c r="B9" s="29" t="s">
        <v>880</v>
      </c>
      <c r="C9" s="29" t="s">
        <v>881</v>
      </c>
      <c r="D9" s="29" t="s">
        <v>882</v>
      </c>
      <c r="E9" s="29" t="s">
        <v>883</v>
      </c>
    </row>
    <row r="10" spans="1:5" ht="60" customHeight="1" x14ac:dyDescent="0.35">
      <c r="A10">
        <v>6</v>
      </c>
      <c r="B10" s="29" t="s">
        <v>884</v>
      </c>
      <c r="C10" s="29" t="s">
        <v>885</v>
      </c>
      <c r="D10" s="29" t="s">
        <v>886</v>
      </c>
      <c r="E10" s="29" t="s">
        <v>887</v>
      </c>
    </row>
    <row r="11" spans="1:5" ht="60" customHeight="1" x14ac:dyDescent="0.35">
      <c r="A11">
        <v>7</v>
      </c>
      <c r="B11" s="29" t="s">
        <v>888</v>
      </c>
      <c r="C11" s="29" t="s">
        <v>889</v>
      </c>
      <c r="D11" s="29" t="s">
        <v>890</v>
      </c>
      <c r="E11" s="29" t="s">
        <v>891</v>
      </c>
    </row>
    <row r="12" spans="1:5" ht="60" customHeight="1" x14ac:dyDescent="0.35">
      <c r="A12">
        <v>8</v>
      </c>
      <c r="B12" s="29" t="s">
        <v>892</v>
      </c>
      <c r="C12" s="29" t="s">
        <v>893</v>
      </c>
      <c r="D12" s="29" t="s">
        <v>894</v>
      </c>
      <c r="E12" s="29" t="s">
        <v>895</v>
      </c>
    </row>
  </sheetData>
  <mergeCells count="1">
    <mergeCell ref="A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CTRS_Summary</vt:lpstr>
      <vt:lpstr>CTRS_Control</vt:lpstr>
      <vt:lpstr>CTRS_Inputs</vt:lpstr>
      <vt:lpstr>CTRS_Calc</vt:lpstr>
      <vt:lpstr>CTRS_Desc</vt:lpstr>
      <vt:lpstr>CTRS_Z</vt:lpstr>
      <vt:lpstr>CTRS_MPA</vt:lpstr>
      <vt:lpstr>CTRS_IMCA</vt:lpstr>
      <vt:lpstr>hotel_location_2025</vt:lpstr>
      <vt:lpstr>total_number_of_tourist</vt:lpstr>
      <vt:lpstr>MPA</vt:lpstr>
      <vt:lpstr>MyIMCA</vt:lpstr>
      <vt:lpstr>MMWQI</vt:lpstr>
      <vt:lpstr>LCC</vt:lpstr>
      <vt:lpstr>Notes_Limitations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LIAN XIAO WEI</cp:lastModifiedBy>
  <dcterms:created xsi:type="dcterms:W3CDTF">2026-09-20T05:28:53Z</dcterms:created>
  <dcterms:modified xsi:type="dcterms:W3CDTF">2026-09-20T07:02:20Z</dcterms:modified>
</cp:coreProperties>
</file>